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ffr\finance-automation-portfolio\04-month-end-closing-automation\"/>
    </mc:Choice>
  </mc:AlternateContent>
  <xr:revisionPtr revIDLastSave="0" documentId="13_ncr:1_{103C3ECA-7DFD-411F-8838-7923CAD7416F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Month-End Control Center" sheetId="17" r:id="rId1"/>
    <sheet name="Closing control" sheetId="14" r:id="rId2"/>
    <sheet name="Exception Details" sheetId="15" r:id="rId3"/>
    <sheet name="Amount Validation" sheetId="16" r:id="rId4"/>
    <sheet name="Trial Balance" sheetId="9" r:id="rId5"/>
    <sheet name="Accruals" sheetId="10" r:id="rId6"/>
    <sheet name="Prepayments" sheetId="11" r:id="rId7"/>
    <sheet name="Invoices" sheetId="12" r:id="rId8"/>
    <sheet name="Invoices - check duplicates" sheetId="13" r:id="rId9"/>
    <sheet name="Sheet1" sheetId="1" r:id="rId10"/>
  </sheets>
  <definedNames>
    <definedName name="DonnéesExternes_1" localSheetId="1" hidden="1">'Closing control'!$A$1:$C$9</definedName>
    <definedName name="DonnéesExternes_1" localSheetId="4" hidden="1">'Trial Balance'!$A$1:$G$81</definedName>
    <definedName name="DonnéesExternes_2" localSheetId="5" hidden="1">Accruals!$A$1:$I$36</definedName>
    <definedName name="DonnéesExternes_2" localSheetId="2" hidden="1">'Exception Details'!$A$1:$F$2</definedName>
    <definedName name="DonnéesExternes_3" localSheetId="3" hidden="1">'Amount Validation'!$A$1:$C$5</definedName>
    <definedName name="DonnéesExternes_3" localSheetId="6" hidden="1">Prepayments!$A$1:$M$21</definedName>
    <definedName name="DonnéesExternes_4" localSheetId="7" hidden="1">Invoices!$A$1:$K$31</definedName>
    <definedName name="DonnéesExternes_5" localSheetId="8" hidden="1">'Invoices - check duplicates'!$A$1:$H$2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7" l="1"/>
  <c r="B30" i="17"/>
  <c r="A30" i="17"/>
  <c r="C29" i="17"/>
  <c r="B29" i="17"/>
  <c r="A29" i="17"/>
  <c r="C28" i="17"/>
  <c r="B28" i="17"/>
  <c r="A28" i="17"/>
  <c r="C27" i="17"/>
  <c r="B27" i="17"/>
  <c r="A27" i="17"/>
  <c r="C26" i="17"/>
  <c r="B26" i="17"/>
  <c r="A26" i="17"/>
  <c r="C25" i="17"/>
  <c r="B25" i="17"/>
  <c r="A25" i="17"/>
  <c r="C24" i="17"/>
  <c r="B24" i="17"/>
  <c r="A24" i="17"/>
  <c r="C23" i="17"/>
  <c r="B23" i="17"/>
  <c r="A23" i="17"/>
  <c r="B14" i="17"/>
  <c r="B1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D169D8-2C4C-4A3B-8F9F-8C1C91C5A572}" keepAlive="1" name="Requête - Accruals" description="Connexion à la requête « Accruals » dans le classeur." type="5" refreshedVersion="8" background="1" saveData="1">
    <dbPr connection="Provider=Microsoft.Mashup.OleDb.1;Data Source=$Workbook$;Location=Accruals;Extended Properties=&quot;&quot;" command="SELECT * FROM [Accruals]"/>
  </connection>
  <connection id="2" xr16:uid="{52D1053B-9619-43C5-954D-1B06B2DB3646}" keepAlive="1" name="Requête - Amount Validation" description="Connexion à la requête « Amount Validation » dans le classeur." type="5" refreshedVersion="8" background="1" saveData="1">
    <dbPr connection="Provider=Microsoft.Mashup.OleDb.1;Data Source=$Workbook$;Location=&quot;Amount Validation&quot;;Extended Properties=&quot;&quot;" command="SELECT * FROM [Amount Validation]"/>
  </connection>
  <connection id="3" xr16:uid="{A60B16B8-4D81-4217-8F37-FB6D5E5101DC}" keepAlive="1" name="Requête - Closing control" description="Connexion à la requête « Closing control » dans le classeur." type="5" refreshedVersion="8" background="1" saveData="1">
    <dbPr connection="Provider=Microsoft.Mashup.OleDb.1;Data Source=$Workbook$;Location=&quot;Closing control&quot;;Extended Properties=&quot;&quot;" command="SELECT * FROM [Closing control]"/>
  </connection>
  <connection id="4" xr16:uid="{4D890509-CAEE-40D2-9715-0E5147CE600F}" keepAlive="1" name="Requête - Exception Details" description="Connexion à la requête « Exception Details » dans le classeur." type="5" refreshedVersion="8" background="1" saveData="1">
    <dbPr connection="Provider=Microsoft.Mashup.OleDb.1;Data Source=$Workbook$;Location=&quot;Exception Details&quot;;Extended Properties=&quot;&quot;" command="SELECT * FROM [Exception Details]"/>
  </connection>
  <connection id="5" xr16:uid="{AAEC0D37-7610-4AF3-9B86-5D68D5FE4DD4}" keepAlive="1" name="Requête - Invoices" description="Connexion à la requête « Invoices » dans le classeur." type="5" refreshedVersion="8" background="1" saveData="1">
    <dbPr connection="Provider=Microsoft.Mashup.OleDb.1;Data Source=$Workbook$;Location=Invoices;Extended Properties=&quot;&quot;" command="SELECT * FROM [Invoices]"/>
  </connection>
  <connection id="6" xr16:uid="{69F709D7-2D08-4014-8492-964C39AAC5A3}" keepAlive="1" name="Requête - Invoices - check duplicate" description="Connexion à la requête « Invoices - check duplicate » dans le classeur." type="5" refreshedVersion="8" background="1" saveData="1">
    <dbPr connection="Provider=Microsoft.Mashup.OleDb.1;Data Source=$Workbook$;Location=&quot;Invoices - check duplicate&quot;;Extended Properties=&quot;&quot;" command="SELECT * FROM [Invoices - check duplicate]"/>
  </connection>
  <connection id="7" xr16:uid="{E677ECCB-F559-44F4-8A82-96C1FBCA80E9}" keepAlive="1" name="Requête - Prepayments" description="Connexion à la requête « Prepayments » dans le classeur." type="5" refreshedVersion="8" background="1" saveData="1">
    <dbPr connection="Provider=Microsoft.Mashup.OleDb.1;Data Source=$Workbook$;Location=Prepayments;Extended Properties=&quot;&quot;" command="SELECT * FROM [Prepayments]"/>
  </connection>
  <connection id="8" xr16:uid="{FBCF1F35-AB55-4DB2-AE64-2276AEC40629}" keepAlive="1" name="Requête - Trial Balance" description="Connexion à la requête « Trial Balance » dans le classeur." type="5" refreshedVersion="8" background="1" saveData="1">
    <dbPr connection="Provider=Microsoft.Mashup.OleDb.1;Data Source=$Workbook$;Location=&quot;Trial Balance&quot;;Extended Properties=&quot;&quot;" command="SELECT * FROM [Trial Balance]"/>
  </connection>
</connections>
</file>

<file path=xl/sharedStrings.xml><?xml version="1.0" encoding="utf-8"?>
<sst xmlns="http://schemas.openxmlformats.org/spreadsheetml/2006/main" count="1161" uniqueCount="241">
  <si>
    <t>Account</t>
  </si>
  <si>
    <t>Account Name</t>
  </si>
  <si>
    <t>Entity</t>
  </si>
  <si>
    <t>Debit</t>
  </si>
  <si>
    <t>Credit</t>
  </si>
  <si>
    <t>Category</t>
  </si>
  <si>
    <t>Balance</t>
  </si>
  <si>
    <t>100000</t>
  </si>
  <si>
    <t>Cash</t>
  </si>
  <si>
    <t>Austria</t>
  </si>
  <si>
    <t>Balance Sheet</t>
  </si>
  <si>
    <t>110000</t>
  </si>
  <si>
    <t>Accounts Receivable</t>
  </si>
  <si>
    <t>120000</t>
  </si>
  <si>
    <t>Inventory</t>
  </si>
  <si>
    <t>130000</t>
  </si>
  <si>
    <t>Prepayments</t>
  </si>
  <si>
    <t>200000</t>
  </si>
  <si>
    <t>Accounts Payable</t>
  </si>
  <si>
    <t>210000</t>
  </si>
  <si>
    <t>Accrued Liabilities</t>
  </si>
  <si>
    <t>300000</t>
  </si>
  <si>
    <t>Share Capital</t>
  </si>
  <si>
    <t>310000</t>
  </si>
  <si>
    <t>Retained Earnings</t>
  </si>
  <si>
    <t>400000</t>
  </si>
  <si>
    <t>Revenue</t>
  </si>
  <si>
    <t>P&amp;L</t>
  </si>
  <si>
    <t>410000</t>
  </si>
  <si>
    <t>Other Operating Income</t>
  </si>
  <si>
    <t>500000</t>
  </si>
  <si>
    <t>Materials</t>
  </si>
  <si>
    <t>510000</t>
  </si>
  <si>
    <t>Production Costs</t>
  </si>
  <si>
    <t>600000</t>
  </si>
  <si>
    <t>Personnel Costs</t>
  </si>
  <si>
    <t>610000</t>
  </si>
  <si>
    <t>Utilities</t>
  </si>
  <si>
    <t>620000</t>
  </si>
  <si>
    <t>Consulting</t>
  </si>
  <si>
    <t>630000</t>
  </si>
  <si>
    <t>IT Services</t>
  </si>
  <si>
    <t>640000</t>
  </si>
  <si>
    <t>Insurance</t>
  </si>
  <si>
    <t>650000</t>
  </si>
  <si>
    <t>Software Licences</t>
  </si>
  <si>
    <t>660000</t>
  </si>
  <si>
    <t>Travel &amp; Expenses</t>
  </si>
  <si>
    <t>670000</t>
  </si>
  <si>
    <t>Marketing</t>
  </si>
  <si>
    <t>Germany</t>
  </si>
  <si>
    <t>France</t>
  </si>
  <si>
    <t>Switzerland</t>
  </si>
  <si>
    <t>Accrual ID</t>
  </si>
  <si>
    <t>Description</t>
  </si>
  <si>
    <t>Amount</t>
  </si>
  <si>
    <t>Posting Date</t>
  </si>
  <si>
    <t>Status</t>
  </si>
  <si>
    <t>ACC001</t>
  </si>
  <si>
    <t>Consulting services</t>
  </si>
  <si>
    <t>Open</t>
  </si>
  <si>
    <t>ACC002</t>
  </si>
  <si>
    <t>IT services</t>
  </si>
  <si>
    <t>ACC003</t>
  </si>
  <si>
    <t>Utilities December</t>
  </si>
  <si>
    <t>ACC004</t>
  </si>
  <si>
    <t>ACC005</t>
  </si>
  <si>
    <t>ACC006</t>
  </si>
  <si>
    <t>Personnel bonus accrual</t>
  </si>
  <si>
    <t>ACC007</t>
  </si>
  <si>
    <t>ACC008</t>
  </si>
  <si>
    <t>Production services</t>
  </si>
  <si>
    <t>ACC009</t>
  </si>
  <si>
    <t>ACC010</t>
  </si>
  <si>
    <t>ACC011</t>
  </si>
  <si>
    <t>ACC012</t>
  </si>
  <si>
    <t>ACC013</t>
  </si>
  <si>
    <t>ACC014</t>
  </si>
  <si>
    <t>ACC015</t>
  </si>
  <si>
    <t>ACC016</t>
  </si>
  <si>
    <t>ACC017</t>
  </si>
  <si>
    <t>Travel expenses</t>
  </si>
  <si>
    <t>ACC018</t>
  </si>
  <si>
    <t>ACC019</t>
  </si>
  <si>
    <t>ACC020</t>
  </si>
  <si>
    <t>ACC021</t>
  </si>
  <si>
    <t>ACC022</t>
  </si>
  <si>
    <t>ACC023</t>
  </si>
  <si>
    <t>ACC024</t>
  </si>
  <si>
    <t>ACC025</t>
  </si>
  <si>
    <t>ACC026</t>
  </si>
  <si>
    <t>ACC027</t>
  </si>
  <si>
    <t>ACC028</t>
  </si>
  <si>
    <t>ACC029</t>
  </si>
  <si>
    <t>ACC030</t>
  </si>
  <si>
    <t>ACC031</t>
  </si>
  <si>
    <t>ACC032</t>
  </si>
  <si>
    <t>ACC033</t>
  </si>
  <si>
    <t>ACC034</t>
  </si>
  <si>
    <t>ACC035</t>
  </si>
  <si>
    <t>PASS - Mapped Account</t>
  </si>
  <si>
    <t>Prepayment ID</t>
  </si>
  <si>
    <t>Balance Sheet Account</t>
  </si>
  <si>
    <t>Expense Account</t>
  </si>
  <si>
    <t>BS Account Mapping Check</t>
  </si>
  <si>
    <t>Expense Account Mapping Check</t>
  </si>
  <si>
    <t>Account Structure Check</t>
  </si>
  <si>
    <t>PREP001</t>
  </si>
  <si>
    <t>Rent</t>
  </si>
  <si>
    <t>PASS</t>
  </si>
  <si>
    <t>PREP002</t>
  </si>
  <si>
    <t>Software licence</t>
  </si>
  <si>
    <t>PREP003</t>
  </si>
  <si>
    <t>PREP004</t>
  </si>
  <si>
    <t>PREP005</t>
  </si>
  <si>
    <t>Subscription</t>
  </si>
  <si>
    <t>PREP013</t>
  </si>
  <si>
    <t>Annual maintenance contract</t>
  </si>
  <si>
    <t>PREP014</t>
  </si>
  <si>
    <t>PREP019</t>
  </si>
  <si>
    <t>PREP006</t>
  </si>
  <si>
    <t>Service contract</t>
  </si>
  <si>
    <t>PREP007</t>
  </si>
  <si>
    <t>PREP008</t>
  </si>
  <si>
    <t>PREP009</t>
  </si>
  <si>
    <t>Annual insurance</t>
  </si>
  <si>
    <t>PREP016</t>
  </si>
  <si>
    <t>PREP020</t>
  </si>
  <si>
    <t>PREP010</t>
  </si>
  <si>
    <t>PREP011</t>
  </si>
  <si>
    <t>PREP012</t>
  </si>
  <si>
    <t>PREP015</t>
  </si>
  <si>
    <t>PREP017</t>
  </si>
  <si>
    <t>PREP018</t>
  </si>
  <si>
    <t>Invoice ID</t>
  </si>
  <si>
    <t>Vendor</t>
  </si>
  <si>
    <t>INV0001</t>
  </si>
  <si>
    <t>Facility Management SA</t>
  </si>
  <si>
    <t>Invoice 0001</t>
  </si>
  <si>
    <t>Posted</t>
  </si>
  <si>
    <t>INV0002</t>
  </si>
  <si>
    <t>Office Supplies GmbH</t>
  </si>
  <si>
    <t>Invoice 0002</t>
  </si>
  <si>
    <t>INV0003</t>
  </si>
  <si>
    <t>Invoice 0003</t>
  </si>
  <si>
    <t>INV0004</t>
  </si>
  <si>
    <t>Travel Services GmbH</t>
  </si>
  <si>
    <t>Invoice 0004</t>
  </si>
  <si>
    <t>INV0005</t>
  </si>
  <si>
    <t>Invoice 0005</t>
  </si>
  <si>
    <t>INV0006</t>
  </si>
  <si>
    <t>Invoice 0006</t>
  </si>
  <si>
    <t>INV0007</t>
  </si>
  <si>
    <t>Consulting Partners GmbH</t>
  </si>
  <si>
    <t>Invoice 0007</t>
  </si>
  <si>
    <t>INV0008</t>
  </si>
  <si>
    <t>Invoice 0008</t>
  </si>
  <si>
    <t>INV0009</t>
  </si>
  <si>
    <t>Industrial Services AG</t>
  </si>
  <si>
    <t>Invoice 0009</t>
  </si>
  <si>
    <t>INV0010</t>
  </si>
  <si>
    <t>IT Solutions GmbH</t>
  </si>
  <si>
    <t>Invoice 0010</t>
  </si>
  <si>
    <t>INV0011</t>
  </si>
  <si>
    <t>Invoice 0011</t>
  </si>
  <si>
    <t>INV0012</t>
  </si>
  <si>
    <t>Invoice 0012</t>
  </si>
  <si>
    <t>INV0013</t>
  </si>
  <si>
    <t>Invoice 0013</t>
  </si>
  <si>
    <t>INV0014</t>
  </si>
  <si>
    <t>Invoice 0014</t>
  </si>
  <si>
    <t>INV0015</t>
  </si>
  <si>
    <t>Invoice 0015</t>
  </si>
  <si>
    <t>INV0016</t>
  </si>
  <si>
    <t>Energy Services AG</t>
  </si>
  <si>
    <t>Invoice 0016</t>
  </si>
  <si>
    <t>INV0017</t>
  </si>
  <si>
    <t>Invoice 0017</t>
  </si>
  <si>
    <t>INV0018</t>
  </si>
  <si>
    <t>Invoice 0018</t>
  </si>
  <si>
    <t>INV0019</t>
  </si>
  <si>
    <t>Invoice 0019</t>
  </si>
  <si>
    <t>INV0020</t>
  </si>
  <si>
    <t>Invoice 0020</t>
  </si>
  <si>
    <t>INV0021</t>
  </si>
  <si>
    <t>Invoice 0021</t>
  </si>
  <si>
    <t>INV0022</t>
  </si>
  <si>
    <t>Invoice 0022</t>
  </si>
  <si>
    <t>INV0023</t>
  </si>
  <si>
    <t>Invoice 0023</t>
  </si>
  <si>
    <t>INV0024</t>
  </si>
  <si>
    <t>Invoice 0024</t>
  </si>
  <si>
    <t>INV0025</t>
  </si>
  <si>
    <t>Invoice 0025</t>
  </si>
  <si>
    <t>INV0026</t>
  </si>
  <si>
    <t>Invoice 0026</t>
  </si>
  <si>
    <t>INV0027</t>
  </si>
  <si>
    <t>Invoice 0027</t>
  </si>
  <si>
    <t>INV0028</t>
  </si>
  <si>
    <t>Invoice 0028</t>
  </si>
  <si>
    <t>INV0029</t>
  </si>
  <si>
    <t>Software Solutions AG</t>
  </si>
  <si>
    <t>Invoice 0029</t>
  </si>
  <si>
    <t>INV0030</t>
  </si>
  <si>
    <t>Invoice 0030</t>
  </si>
  <si>
    <t>Account Mapping Check</t>
  </si>
  <si>
    <t>Amount Check</t>
  </si>
  <si>
    <t>Mapping check</t>
  </si>
  <si>
    <t>Account Name.1</t>
  </si>
  <si>
    <t>Control</t>
  </si>
  <si>
    <t>Details</t>
  </si>
  <si>
    <t>Trial Balance</t>
  </si>
  <si>
    <t>Balance = 0,00</t>
  </si>
  <si>
    <t>Accrual Account Mapping</t>
  </si>
  <si>
    <t>Prepayment BS Account Mapping</t>
  </si>
  <si>
    <t>0 unmapped account(s)</t>
  </si>
  <si>
    <t>Prepayment Expense Account Mapping</t>
  </si>
  <si>
    <t>Invoice Account Mapping</t>
  </si>
  <si>
    <t>Duplicate Invoice Check</t>
  </si>
  <si>
    <t>OVERALL CLOSING STATUS</t>
  </si>
  <si>
    <t>Exception Type</t>
  </si>
  <si>
    <t>ID</t>
  </si>
  <si>
    <t>Invalid Rows</t>
  </si>
  <si>
    <t>Accrual Amount Validation</t>
  </si>
  <si>
    <t>Prepayment Amount Validation</t>
  </si>
  <si>
    <t>Invoice Amount Validation</t>
  </si>
  <si>
    <t>OVERALL AMOUNT VALIDATION</t>
  </si>
  <si>
    <t>Amount Validation</t>
  </si>
  <si>
    <t>0 warning(s)</t>
  </si>
  <si>
    <t>MONTH-END CLOSING CONTROL CENTER</t>
  </si>
  <si>
    <t>Purpose</t>
  </si>
  <si>
    <t>Automated monthly closing validation and exception monitoring</t>
  </si>
  <si>
    <t>Process</t>
  </si>
  <si>
    <t>1. Refresh financial data</t>
  </si>
  <si>
    <t>2. Run validation controls</t>
  </si>
  <si>
    <t>3. Identify exceptions</t>
  </si>
  <si>
    <t>4. Review results</t>
  </si>
  <si>
    <t>OVERALL STATUS</t>
  </si>
  <si>
    <t>Exceptions</t>
  </si>
  <si>
    <t>0 duplicate row(s)</t>
  </si>
  <si>
    <t>0 control(s) requiring attention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</si>
</sst>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0" xfId="0" applyNumberFormat="1"/>
  </cellXfs>
  <cellStyles count="1">
    <cellStyle name="Normal" xfId="0" builtinId="0"/>
  </cellStyles>
  <dxfs count="33"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9525</xdr:rowOff>
        </xdr:from>
        <xdr:to>
          <xdr:col>4</xdr:col>
          <xdr:colOff>9525</xdr:colOff>
          <xdr:row>19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MONTH-END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6A1257CE-94A2-4541-A31E-C2BA47629A18}" autoFormatId="16" applyNumberFormats="0" applyBorderFormats="0" applyFontFormats="0" applyPatternFormats="0" applyAlignmentFormats="0" applyWidthHeightFormats="0">
  <queryTableRefresh nextId="4">
    <queryTableFields count="3">
      <queryTableField id="1" name="Control" tableColumnId="1"/>
      <queryTableField id="2" name="Status" tableColumnId="2"/>
      <queryTableField id="3" name="Detail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4" xr16:uid="{549B4EBC-A452-44A5-BB94-D99F7B6ADA6F}" autoFormatId="16" applyNumberFormats="0" applyBorderFormats="0" applyFontFormats="0" applyPatternFormats="0" applyAlignmentFormats="0" applyWidthHeightFormats="0">
  <queryTableRefresh nextId="7">
    <queryTableFields count="6">
      <queryTableField id="1" name="Exception Type" tableColumnId="1"/>
      <queryTableField id="2" name="ID" tableColumnId="2"/>
      <queryTableField id="3" name="Account" tableColumnId="3"/>
      <queryTableField id="4" name="Entity" tableColumnId="4"/>
      <queryTableField id="5" name="Description" tableColumnId="5"/>
      <queryTableField id="6" name="Amoun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2" xr16:uid="{34CCF71A-F8BC-4226-9BA8-9EDBED9D301E}" autoFormatId="16" applyNumberFormats="0" applyBorderFormats="0" applyFontFormats="0" applyPatternFormats="0" applyAlignmentFormats="0" applyWidthHeightFormats="0">
  <queryTableRefresh nextId="4">
    <queryTableFields count="3">
      <queryTableField id="1" name="Control" tableColumnId="1"/>
      <queryTableField id="2" name="Status" tableColumnId="2"/>
      <queryTableField id="3" name="Invalid Rows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8" xr16:uid="{88B391D3-0391-4E94-9828-B3F281FECC09}" autoFormatId="16" applyNumberFormats="0" applyBorderFormats="0" applyFontFormats="0" applyPatternFormats="0" applyAlignmentFormats="0" applyWidthHeightFormats="0">
  <queryTableRefresh nextId="8">
    <queryTableFields count="7">
      <queryTableField id="1" name="Account" tableColumnId="1"/>
      <queryTableField id="2" name="Account Name" tableColumnId="2"/>
      <queryTableField id="3" name="Entity" tableColumnId="3"/>
      <queryTableField id="4" name="Debit" tableColumnId="4"/>
      <queryTableField id="5" name="Credit" tableColumnId="5"/>
      <queryTableField id="6" name="Category" tableColumnId="6"/>
      <queryTableField id="7" name="Balance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1" xr16:uid="{B82C370B-EFDD-48B9-BD41-D263F5ECD563}" autoFormatId="16" applyNumberFormats="0" applyBorderFormats="0" applyFontFormats="0" applyPatternFormats="0" applyAlignmentFormats="0" applyWidthHeightFormats="0">
  <queryTableRefresh nextId="10">
    <queryTableFields count="9">
      <queryTableField id="1" name="Accrual ID" tableColumnId="1"/>
      <queryTableField id="2" name="Account" tableColumnId="2"/>
      <queryTableField id="3" name="Entity" tableColumnId="3"/>
      <queryTableField id="4" name="Description" tableColumnId="4"/>
      <queryTableField id="5" name="Amount" tableColumnId="5"/>
      <queryTableField id="6" name="Posting Date" tableColumnId="6"/>
      <queryTableField id="7" name="Status" tableColumnId="7"/>
      <queryTableField id="8" name="Account Name" tableColumnId="8"/>
      <queryTableField id="9" name="Mapping check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7" xr16:uid="{BC554F1B-0AF1-4BA0-99D8-B3AB458AF141}" autoFormatId="16" applyNumberFormats="0" applyBorderFormats="0" applyFontFormats="0" applyPatternFormats="0" applyAlignmentFormats="0" applyWidthHeightFormats="0">
  <queryTableRefresh nextId="14">
    <queryTableFields count="13">
      <queryTableField id="1" name="Prepayment ID" tableColumnId="1"/>
      <queryTableField id="2" name="Balance Sheet Account" tableColumnId="2"/>
      <queryTableField id="3" name="Expense Account" tableColumnId="3"/>
      <queryTableField id="4" name="Entity" tableColumnId="4"/>
      <queryTableField id="5" name="Description" tableColumnId="5"/>
      <queryTableField id="6" name="Amount" tableColumnId="6"/>
      <queryTableField id="7" name="Posting Date" tableColumnId="7"/>
      <queryTableField id="8" name="Status" tableColumnId="8"/>
      <queryTableField id="9" name="Account Name" tableColumnId="9"/>
      <queryTableField id="10" name="Account Name.1" tableColumnId="10"/>
      <queryTableField id="11" name="BS Account Mapping Check" tableColumnId="11"/>
      <queryTableField id="12" name="Expense Account Mapping Check" tableColumnId="12"/>
      <queryTableField id="13" name="Account Structure Check" tableColumnId="1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5" xr16:uid="{F7FC33DC-F841-4B9C-9AF2-012D90FE7FCC}" autoFormatId="16" applyNumberFormats="0" applyBorderFormats="0" applyFontFormats="0" applyPatternFormats="0" applyAlignmentFormats="0" applyWidthHeightFormats="0">
  <queryTableRefresh nextId="12">
    <queryTableFields count="11">
      <queryTableField id="1" name="Invoice ID" tableColumnId="1"/>
      <queryTableField id="2" name="Vendor" tableColumnId="2"/>
      <queryTableField id="3" name="Account" tableColumnId="3"/>
      <queryTableField id="4" name="Entity" tableColumnId="4"/>
      <queryTableField id="5" name="Description" tableColumnId="5"/>
      <queryTableField id="6" name="Amount" tableColumnId="6"/>
      <queryTableField id="7" name="Posting Date" tableColumnId="7"/>
      <queryTableField id="8" name="Status" tableColumnId="8"/>
      <queryTableField id="9" name="Account Name" tableColumnId="9"/>
      <queryTableField id="10" name="Account Mapping Check" tableColumnId="10"/>
      <queryTableField id="11" name="Amount Check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6" xr16:uid="{0606C0BF-05A5-4E94-8659-A43981EDA065}" autoFormatId="16" applyNumberFormats="0" applyBorderFormats="0" applyFontFormats="0" applyPatternFormats="0" applyAlignmentFormats="0" applyWidthHeightFormats="0">
  <queryTableRefresh nextId="9">
    <queryTableFields count="8">
      <queryTableField id="1" name="Invoice ID" tableColumnId="1"/>
      <queryTableField id="2" name="Vendor" tableColumnId="2"/>
      <queryTableField id="3" name="Account" tableColumnId="3"/>
      <queryTableField id="4" name="Entity" tableColumnId="4"/>
      <queryTableField id="5" name="Description" tableColumnId="5"/>
      <queryTableField id="6" name="Amount" tableColumnId="6"/>
      <queryTableField id="7" name="Posting Date" tableColumnId="7"/>
      <queryTableField id="8" name="Status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A42522F-A943-4C00-87B7-A4564C126A40}" name="Closing_control" displayName="Closing_control" ref="A1:C9" tableType="queryTable" totalsRowShown="0">
  <autoFilter ref="A1:C9" xr:uid="{6A42522F-A943-4C00-87B7-A4564C126A40}"/>
  <tableColumns count="3">
    <tableColumn id="1" xr3:uid="{E03B43D1-C71A-44A3-8947-E286FE0D427A}" uniqueName="1" name="Control" queryTableFieldId="1"/>
    <tableColumn id="2" xr3:uid="{55D8078D-FCEA-4F18-83F3-FCDA2E049177}" uniqueName="2" name="Status" queryTableFieldId="2"/>
    <tableColumn id="3" xr3:uid="{0AC7E922-390F-46E5-93AD-327537C94F15}" uniqueName="3" name="Details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80B0AEC-A2A6-4FA5-85FB-5787F9E94E54}" name="Exception_Details" displayName="Exception_Details" ref="A1:F2" tableType="queryTable" insertRow="1" totalsRowShown="0">
  <autoFilter ref="A1:F2" xr:uid="{D80B0AEC-A2A6-4FA5-85FB-5787F9E94E54}"/>
  <tableColumns count="6">
    <tableColumn id="1" xr3:uid="{22C841E1-18F3-471E-9B8A-9971284E69F8}" uniqueName="1" name="Exception Type" queryTableFieldId="1"/>
    <tableColumn id="2" xr3:uid="{E47949C4-9993-45C7-9959-0479CE936C28}" uniqueName="2" name="ID" queryTableFieldId="2"/>
    <tableColumn id="3" xr3:uid="{1AF7BAA5-7FE9-4089-B612-8235A7C2491A}" uniqueName="3" name="Account" queryTableFieldId="3"/>
    <tableColumn id="4" xr3:uid="{5A31A148-1B85-4279-8632-CBC21C0EFC36}" uniqueName="4" name="Entity" queryTableFieldId="4"/>
    <tableColumn id="5" xr3:uid="{510FBD19-6F68-48FA-83F4-C86FB3D277BA}" uniqueName="5" name="Description" queryTableFieldId="5"/>
    <tableColumn id="6" xr3:uid="{35F72DCA-371E-4724-A773-9EBA94748C76}" uniqueName="6" name="Amoun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5F81A81-DB1A-4637-80EE-27B158BBF4C4}" name="Amount_Validation" displayName="Amount_Validation" ref="A1:C5" tableType="queryTable" totalsRowShown="0">
  <autoFilter ref="A1:C5" xr:uid="{A5F81A81-DB1A-4637-80EE-27B158BBF4C4}"/>
  <tableColumns count="3">
    <tableColumn id="1" xr3:uid="{91F6CF0C-027C-45DC-9ED2-869D5E196623}" uniqueName="1" name="Control" queryTableFieldId="1"/>
    <tableColumn id="2" xr3:uid="{2F907807-83C7-4A28-A6DD-E1C49CDA05C0}" uniqueName="2" name="Status" queryTableFieldId="2"/>
    <tableColumn id="3" xr3:uid="{B6DBB8BC-3904-4109-B473-5AF131FBE90F}" uniqueName="3" name="Invalid Rows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21C34-D7F7-4D00-9B05-E31DA3A22149}" name="Trial_Balance" displayName="Trial_Balance" ref="A1:G81" tableType="queryTable" totalsRowShown="0">
  <autoFilter ref="A1:G81" xr:uid="{CF621C34-D7F7-4D00-9B05-E31DA3A22149}"/>
  <tableColumns count="7">
    <tableColumn id="1" xr3:uid="{BD5D21A7-4388-4B74-B964-FD7F4D7E57B2}" uniqueName="1" name="Account" queryTableFieldId="1" dataDxfId="32"/>
    <tableColumn id="2" xr3:uid="{BB81CF64-AA3B-438A-99A7-1F91C9C43D96}" uniqueName="2" name="Account Name" queryTableFieldId="2" dataDxfId="31"/>
    <tableColumn id="3" xr3:uid="{461DF0F1-0D7B-44C1-A648-6F902999F2EC}" uniqueName="3" name="Entity" queryTableFieldId="3" dataDxfId="30"/>
    <tableColumn id="4" xr3:uid="{67627414-02C2-47FD-A809-14789482C8B4}" uniqueName="4" name="Debit" queryTableFieldId="4"/>
    <tableColumn id="5" xr3:uid="{63D53D27-ABE8-4B24-8005-DBC24A6C94A5}" uniqueName="5" name="Credit" queryTableFieldId="5"/>
    <tableColumn id="6" xr3:uid="{8EA18408-60F0-4311-B876-3ABFA5AC4A92}" uniqueName="6" name="Category" queryTableFieldId="6" dataDxfId="29"/>
    <tableColumn id="7" xr3:uid="{15A06AA7-EBBE-44A4-BFE0-1F0FC1EE07DC}" uniqueName="7" name="Balance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5BEF2D-E180-4DEA-993E-A43D87FF35F2}" name="Accruals" displayName="Accruals" ref="A1:I36" tableType="queryTable" totalsRowShown="0">
  <autoFilter ref="A1:I36" xr:uid="{B55BEF2D-E180-4DEA-993E-A43D87FF35F2}"/>
  <tableColumns count="9">
    <tableColumn id="1" xr3:uid="{C8AE9CB1-B754-492F-8D34-EFCEE17A71D5}" uniqueName="1" name="Accrual ID" queryTableFieldId="1" dataDxfId="24"/>
    <tableColumn id="2" xr3:uid="{C4A51B3F-6682-4460-AC08-51CFC9EB682C}" uniqueName="2" name="Account" queryTableFieldId="2" dataDxfId="23"/>
    <tableColumn id="3" xr3:uid="{4003BEC1-54B9-4ABF-95D5-C66D0BB9E074}" uniqueName="3" name="Entity" queryTableFieldId="3" dataDxfId="22"/>
    <tableColumn id="4" xr3:uid="{74013F06-60ED-4BC3-A23B-4F870B8F496B}" uniqueName="4" name="Description" queryTableFieldId="4" dataDxfId="21"/>
    <tableColumn id="5" xr3:uid="{F14D69F5-AF60-4541-B8D7-44AC9926C80E}" uniqueName="5" name="Amount" queryTableFieldId="5"/>
    <tableColumn id="6" xr3:uid="{AB949172-9BE6-4D6F-BFF0-6881422A02FB}" uniqueName="6" name="Posting Date" queryTableFieldId="6" dataDxfId="20"/>
    <tableColumn id="7" xr3:uid="{3B5C0EEB-5F17-4FD5-84E3-18ADCBF01ED6}" uniqueName="7" name="Status" queryTableFieldId="7" dataDxfId="19"/>
    <tableColumn id="8" xr3:uid="{A9B4B2CF-F254-4FA8-95BC-2A45358D6FF1}" uniqueName="8" name="Account Name" queryTableFieldId="8" dataDxfId="18"/>
    <tableColumn id="9" xr3:uid="{8FEA4470-0F41-48F7-BA14-AAA4241F0149}" uniqueName="9" name="Mapping check" queryTableField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7093E9-599C-4C0B-AF74-E0C5DF30F078}" name="Prepayments" displayName="Prepayments" ref="A1:M21" tableType="queryTable" totalsRowShown="0">
  <autoFilter ref="A1:M21" xr:uid="{B87093E9-599C-4C0B-AF74-E0C5DF30F078}"/>
  <tableColumns count="13">
    <tableColumn id="1" xr3:uid="{AD96AC4A-0B00-4BDB-A166-9BA2D973EE67}" uniqueName="1" name="Prepayment ID" queryTableFieldId="1" dataDxfId="17"/>
    <tableColumn id="2" xr3:uid="{37A0570C-6E34-4744-BB49-1C96A0A75B64}" uniqueName="2" name="Balance Sheet Account" queryTableFieldId="2" dataDxfId="16"/>
    <tableColumn id="3" xr3:uid="{68DFB96D-1536-4F88-8110-5838661E44E3}" uniqueName="3" name="Expense Account" queryTableFieldId="3" dataDxfId="15"/>
    <tableColumn id="4" xr3:uid="{860575AC-57B3-46FE-8D0D-E56369DA365F}" uniqueName="4" name="Entity" queryTableFieldId="4" dataDxfId="14"/>
    <tableColumn id="5" xr3:uid="{E410E03B-D492-498A-934B-57F428CF6C0A}" uniqueName="5" name="Description" queryTableFieldId="5" dataDxfId="13"/>
    <tableColumn id="6" xr3:uid="{5CFB8500-9F16-483B-8958-A1AE570546B6}" uniqueName="6" name="Amount" queryTableFieldId="6"/>
    <tableColumn id="7" xr3:uid="{4EB2E37B-7F04-4460-B852-335E956D4C41}" uniqueName="7" name="Posting Date" queryTableFieldId="7" dataDxfId="12"/>
    <tableColumn id="8" xr3:uid="{AACFC220-FF7B-4887-AFCB-2C6F43EBBB55}" uniqueName="8" name="Status" queryTableFieldId="8" dataDxfId="11"/>
    <tableColumn id="9" xr3:uid="{F2C98B56-7C71-4EF9-88D7-EED6190EB3B8}" uniqueName="9" name="Account Name" queryTableFieldId="9" dataDxfId="10"/>
    <tableColumn id="10" xr3:uid="{F790BCDC-B4A9-4F21-8E57-3A418962DB50}" uniqueName="10" name="Account Name.1" queryTableFieldId="10" dataDxfId="9"/>
    <tableColumn id="11" xr3:uid="{321F7FB1-BE7E-40A7-BA5F-8A8358135ACD}" uniqueName="11" name="BS Account Mapping Check" queryTableFieldId="11"/>
    <tableColumn id="12" xr3:uid="{38275E26-3539-4C3D-9F7C-766C4FD550F8}" uniqueName="12" name="Expense Account Mapping Check" queryTableFieldId="12"/>
    <tableColumn id="13" xr3:uid="{6E63DAA7-3BD4-42BF-A820-7CE2484351AA}" uniqueName="13" name="Account Structure Check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E9659B-F185-4A35-914A-DEF6AE6BEE8D}" name="Invoices" displayName="Invoices" ref="A1:K31" tableType="queryTable" totalsRowShown="0">
  <autoFilter ref="A1:K31" xr:uid="{07E9659B-F185-4A35-914A-DEF6AE6BEE8D}"/>
  <tableColumns count="11">
    <tableColumn id="1" xr3:uid="{1A3261CD-83DA-41A3-8A30-3F48CC9CAFFF}" uniqueName="1" name="Invoice ID" queryTableFieldId="1" dataDxfId="8"/>
    <tableColumn id="2" xr3:uid="{D5DEB5BF-763C-43C0-AF7E-5628383DA0AC}" uniqueName="2" name="Vendor" queryTableFieldId="2" dataDxfId="7"/>
    <tableColumn id="3" xr3:uid="{D6C2DF0B-BEB3-40DC-A3DD-16D2BB9FA47B}" uniqueName="3" name="Account" queryTableFieldId="3" dataDxfId="6"/>
    <tableColumn id="4" xr3:uid="{AD99F104-F5C3-49B0-B5EB-3C1E4C181CBB}" uniqueName="4" name="Entity" queryTableFieldId="4" dataDxfId="5"/>
    <tableColumn id="5" xr3:uid="{684E9766-5164-4D6C-9F6C-A0EF8377913D}" uniqueName="5" name="Description" queryTableFieldId="5" dataDxfId="4"/>
    <tableColumn id="6" xr3:uid="{AFA33279-8580-4B69-9D4F-F5FE5D3B3E91}" uniqueName="6" name="Amount" queryTableFieldId="6"/>
    <tableColumn id="7" xr3:uid="{5AD0CDCF-3FB7-451D-9210-E502A5A76D87}" uniqueName="7" name="Posting Date" queryTableFieldId="7" dataDxfId="3"/>
    <tableColumn id="8" xr3:uid="{99FFD1B6-991E-40CC-B10D-E853E6EA68E7}" uniqueName="8" name="Status" queryTableFieldId="8" dataDxfId="2"/>
    <tableColumn id="9" xr3:uid="{67ABA89D-9EA8-4931-9696-CE273F66B5C2}" uniqueName="9" name="Account Name" queryTableFieldId="9" dataDxfId="1"/>
    <tableColumn id="10" xr3:uid="{4F08ED17-BAAB-40A1-9EB0-93F28C2CC067}" uniqueName="10" name="Account Mapping Check" queryTableFieldId="10"/>
    <tableColumn id="11" xr3:uid="{2D3A1B46-B1EC-4F74-9584-8ED38DDB5328}" uniqueName="11" name="Amount Check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CF1B59-941C-4760-9428-5C3B75EC611E}" name="Invoices___check_duplicate" displayName="Invoices___check_duplicate" ref="A1:H2" tableType="queryTable" insertRow="1" totalsRowShown="0">
  <autoFilter ref="A1:H2" xr:uid="{7CCF1B59-941C-4760-9428-5C3B75EC611E}"/>
  <tableColumns count="8">
    <tableColumn id="1" xr3:uid="{A841B1F9-3C58-40C8-AAFB-7245F8D98F40}" uniqueName="1" name="Invoice ID" queryTableFieldId="1"/>
    <tableColumn id="2" xr3:uid="{230C6A1C-1C89-4E1A-A669-506EDE058BCC}" uniqueName="2" name="Vendor" queryTableFieldId="2"/>
    <tableColumn id="3" xr3:uid="{77704C33-0591-4B44-89D9-0D28D6D74F3F}" uniqueName="3" name="Account" queryTableFieldId="3"/>
    <tableColumn id="4" xr3:uid="{21F12B7D-26DF-4148-BDB6-02D710D1B826}" uniqueName="4" name="Entity" queryTableFieldId="4"/>
    <tableColumn id="5" xr3:uid="{61D5A81A-79EC-497F-9FFE-BBC719AF7D09}" uniqueName="5" name="Description" queryTableFieldId="5"/>
    <tableColumn id="6" xr3:uid="{565A5120-5194-4C34-82AB-3371156DCF3C}" uniqueName="6" name="Amount" queryTableFieldId="6"/>
    <tableColumn id="7" xr3:uid="{C2C69CE9-339E-47E7-906E-A51CAAE5DA87}" uniqueName="7" name="Posting Date" queryTableFieldId="7" dataDxfId="0"/>
    <tableColumn id="8" xr3:uid="{1C862C5A-DFBC-4C15-93A7-4AFA5D4BCA1B}" uniqueName="8" name="Status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8700-8096-42C7-AA69-248471936D66}">
  <sheetPr codeName="Feuil1"/>
  <dimension ref="A1:C30"/>
  <sheetViews>
    <sheetView showGridLines="0" tabSelected="1" zoomScale="85" zoomScaleNormal="85" workbookViewId="0">
      <selection activeCell="E13" sqref="E13"/>
    </sheetView>
  </sheetViews>
  <sheetFormatPr baseColWidth="10" defaultRowHeight="15" x14ac:dyDescent="0.25"/>
  <cols>
    <col min="1" max="1" width="59.28515625" bestFit="1" customWidth="1"/>
    <col min="2" max="3" width="28.7109375" bestFit="1" customWidth="1"/>
  </cols>
  <sheetData>
    <row r="1" spans="1:2" ht="18.75" x14ac:dyDescent="0.3">
      <c r="A1" s="5" t="s">
        <v>229</v>
      </c>
    </row>
    <row r="3" spans="1:2" x14ac:dyDescent="0.25">
      <c r="A3" s="2" t="s">
        <v>230</v>
      </c>
    </row>
    <row r="4" spans="1:2" x14ac:dyDescent="0.25">
      <c r="A4" t="s">
        <v>231</v>
      </c>
    </row>
    <row r="6" spans="1:2" x14ac:dyDescent="0.25">
      <c r="A6" s="2" t="s">
        <v>232</v>
      </c>
    </row>
    <row r="7" spans="1:2" x14ac:dyDescent="0.25">
      <c r="A7" t="s">
        <v>233</v>
      </c>
    </row>
    <row r="8" spans="1:2" x14ac:dyDescent="0.25">
      <c r="A8" t="s">
        <v>234</v>
      </c>
    </row>
    <row r="9" spans="1:2" x14ac:dyDescent="0.25">
      <c r="A9" t="s">
        <v>235</v>
      </c>
    </row>
    <row r="10" spans="1:2" x14ac:dyDescent="0.25">
      <c r="A10" t="s">
        <v>236</v>
      </c>
    </row>
    <row r="12" spans="1:2" x14ac:dyDescent="0.25">
      <c r="A12" s="2" t="s">
        <v>237</v>
      </c>
    </row>
    <row r="13" spans="1:2" x14ac:dyDescent="0.25">
      <c r="A13" s="3" t="s">
        <v>57</v>
      </c>
      <c r="B13" s="4" t="str">
        <f>'Closing control'!B9</f>
        <v>PASS</v>
      </c>
    </row>
    <row r="14" spans="1:2" x14ac:dyDescent="0.25">
      <c r="A14" s="3" t="s">
        <v>238</v>
      </c>
      <c r="B14" s="4" t="str">
        <f>'Closing control'!C9</f>
        <v>0 control(s) requiring attention</v>
      </c>
    </row>
    <row r="22" spans="1:3" x14ac:dyDescent="0.25">
      <c r="A22" s="3" t="s">
        <v>209</v>
      </c>
      <c r="B22" s="3" t="s">
        <v>57</v>
      </c>
      <c r="C22" s="3" t="s">
        <v>210</v>
      </c>
    </row>
    <row r="23" spans="1:3" x14ac:dyDescent="0.25">
      <c r="A23" s="6" t="str">
        <f>'Closing control'!A2</f>
        <v>Trial Balance</v>
      </c>
      <c r="B23" s="6" t="str">
        <f>'Closing control'!B2</f>
        <v>PASS</v>
      </c>
      <c r="C23" s="6" t="str">
        <f>'Closing control'!C2</f>
        <v>Balance = 0,00</v>
      </c>
    </row>
    <row r="24" spans="1:3" x14ac:dyDescent="0.25">
      <c r="A24" s="6" t="str">
        <f>'Closing control'!A3</f>
        <v>Accrual Account Mapping</v>
      </c>
      <c r="B24" s="6" t="str">
        <f>'Closing control'!B3</f>
        <v>PASS</v>
      </c>
      <c r="C24" s="6" t="str">
        <f>'Closing control'!C3</f>
        <v>0 unmapped account(s)</v>
      </c>
    </row>
    <row r="25" spans="1:3" x14ac:dyDescent="0.25">
      <c r="A25" s="6" t="str">
        <f>'Closing control'!A4</f>
        <v>Prepayment BS Account Mapping</v>
      </c>
      <c r="B25" s="6" t="str">
        <f>'Closing control'!B4</f>
        <v>PASS</v>
      </c>
      <c r="C25" s="6" t="str">
        <f>'Closing control'!C4</f>
        <v>0 unmapped account(s)</v>
      </c>
    </row>
    <row r="26" spans="1:3" x14ac:dyDescent="0.25">
      <c r="A26" s="6" t="str">
        <f>'Closing control'!A5</f>
        <v>Prepayment Expense Account Mapping</v>
      </c>
      <c r="B26" s="6" t="str">
        <f>'Closing control'!B5</f>
        <v>PASS</v>
      </c>
      <c r="C26" s="6" t="str">
        <f>'Closing control'!C5</f>
        <v>0 unmapped account(s)</v>
      </c>
    </row>
    <row r="27" spans="1:3" x14ac:dyDescent="0.25">
      <c r="A27" s="6" t="str">
        <f>'Closing control'!A6</f>
        <v>Invoice Account Mapping</v>
      </c>
      <c r="B27" s="6" t="str">
        <f>'Closing control'!B6</f>
        <v>PASS</v>
      </c>
      <c r="C27" s="6" t="str">
        <f>'Closing control'!C6</f>
        <v>0 unmapped account(s)</v>
      </c>
    </row>
    <row r="28" spans="1:3" x14ac:dyDescent="0.25">
      <c r="A28" s="6" t="str">
        <f>'Closing control'!A7</f>
        <v>Duplicate Invoice Check</v>
      </c>
      <c r="B28" s="6" t="str">
        <f>'Closing control'!B7</f>
        <v>PASS</v>
      </c>
      <c r="C28" s="6" t="str">
        <f>'Closing control'!C7</f>
        <v>0 duplicate row(s)</v>
      </c>
    </row>
    <row r="29" spans="1:3" x14ac:dyDescent="0.25">
      <c r="A29" s="6" t="str">
        <f>'Closing control'!A8</f>
        <v>Amount Validation</v>
      </c>
      <c r="B29" s="6" t="str">
        <f>'Closing control'!B8</f>
        <v>PASS</v>
      </c>
      <c r="C29" s="6" t="str">
        <f>'Closing control'!C8</f>
        <v>0 warning(s)</v>
      </c>
    </row>
    <row r="30" spans="1:3" x14ac:dyDescent="0.25">
      <c r="A30" s="7" t="str">
        <f>'Closing control'!A9</f>
        <v>OVERALL CLOSING STATUS</v>
      </c>
      <c r="B30" s="7" t="str">
        <f>'Closing control'!B9</f>
        <v>PASS</v>
      </c>
      <c r="C30" s="7" t="str">
        <f>'Closing control'!C9</f>
        <v>0 control(s) requiring attention</v>
      </c>
    </row>
  </sheetData>
  <conditionalFormatting sqref="B23:B30">
    <cfRule type="containsText" dxfId="28" priority="3" operator="containsText" text="PASS">
      <formula>NOT(ISERROR(SEARCH("PASS",B23)))</formula>
    </cfRule>
    <cfRule type="containsText" dxfId="27" priority="4" operator="containsText" text="WARNING">
      <formula>NOT(ISERROR(SEARCH("WARNING",B23)))</formula>
    </cfRule>
  </conditionalFormatting>
  <conditionalFormatting sqref="B13">
    <cfRule type="containsText" dxfId="26" priority="1" operator="containsText" text="pass">
      <formula>NOT(ISERROR(SEARCH("pass",B13)))</formula>
    </cfRule>
    <cfRule type="containsText" dxfId="25" priority="2" operator="containsText" text="war">
      <formula>NOT(ISERROR(SEARCH("war",B13)))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nthEnd">
                <anchor moveWithCells="1" sizeWithCells="1">
                  <from>
                    <xdr:col>0</xdr:col>
                    <xdr:colOff>0</xdr:colOff>
                    <xdr:row>16</xdr:row>
                    <xdr:rowOff>9525</xdr:rowOff>
                  </from>
                  <to>
                    <xdr:col>4</xdr:col>
                    <xdr:colOff>9525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38D68-C820-4B5C-BA99-62719BD1DC88}">
  <sheetPr codeName="Feuil2"/>
  <dimension ref="A1:C9"/>
  <sheetViews>
    <sheetView workbookViewId="0">
      <selection activeCell="C6" sqref="C6"/>
    </sheetView>
  </sheetViews>
  <sheetFormatPr baseColWidth="10" defaultRowHeight="15" x14ac:dyDescent="0.25"/>
  <cols>
    <col min="1" max="1" width="36" bestFit="1" customWidth="1"/>
    <col min="2" max="2" width="8.7109375" bestFit="1" customWidth="1"/>
    <col min="3" max="3" width="28.7109375" bestFit="1" customWidth="1"/>
  </cols>
  <sheetData>
    <row r="1" spans="1:3" x14ac:dyDescent="0.25">
      <c r="A1" t="s">
        <v>209</v>
      </c>
      <c r="B1" t="s">
        <v>57</v>
      </c>
      <c r="C1" t="s">
        <v>210</v>
      </c>
    </row>
    <row r="2" spans="1:3" x14ac:dyDescent="0.25">
      <c r="A2" t="s">
        <v>211</v>
      </c>
      <c r="B2" t="s">
        <v>109</v>
      </c>
      <c r="C2" t="s">
        <v>212</v>
      </c>
    </row>
    <row r="3" spans="1:3" x14ac:dyDescent="0.25">
      <c r="A3" t="s">
        <v>213</v>
      </c>
      <c r="B3" t="s">
        <v>109</v>
      </c>
      <c r="C3" t="s">
        <v>215</v>
      </c>
    </row>
    <row r="4" spans="1:3" x14ac:dyDescent="0.25">
      <c r="A4" t="s">
        <v>214</v>
      </c>
      <c r="B4" t="s">
        <v>109</v>
      </c>
      <c r="C4" t="s">
        <v>215</v>
      </c>
    </row>
    <row r="5" spans="1:3" x14ac:dyDescent="0.25">
      <c r="A5" t="s">
        <v>216</v>
      </c>
      <c r="B5" t="s">
        <v>109</v>
      </c>
      <c r="C5" t="s">
        <v>215</v>
      </c>
    </row>
    <row r="6" spans="1:3" x14ac:dyDescent="0.25">
      <c r="A6" t="s">
        <v>217</v>
      </c>
      <c r="B6" t="s">
        <v>109</v>
      </c>
      <c r="C6" t="s">
        <v>215</v>
      </c>
    </row>
    <row r="7" spans="1:3" x14ac:dyDescent="0.25">
      <c r="A7" t="s">
        <v>218</v>
      </c>
      <c r="B7" t="s">
        <v>109</v>
      </c>
      <c r="C7" t="s">
        <v>239</v>
      </c>
    </row>
    <row r="8" spans="1:3" x14ac:dyDescent="0.25">
      <c r="A8" t="s">
        <v>227</v>
      </c>
      <c r="B8" t="s">
        <v>109</v>
      </c>
      <c r="C8" t="s">
        <v>228</v>
      </c>
    </row>
    <row r="9" spans="1:3" x14ac:dyDescent="0.25">
      <c r="A9" t="s">
        <v>219</v>
      </c>
      <c r="B9" t="s">
        <v>109</v>
      </c>
      <c r="C9" t="s">
        <v>240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5D1CF-CBC8-453F-A01A-90471D4D1DFE}">
  <sheetPr codeName="Feuil3"/>
  <dimension ref="A1:F1"/>
  <sheetViews>
    <sheetView workbookViewId="0">
      <selection activeCell="A28" sqref="A28"/>
    </sheetView>
  </sheetViews>
  <sheetFormatPr baseColWidth="10" defaultRowHeight="15" x14ac:dyDescent="0.25"/>
  <cols>
    <col min="1" max="1" width="16.7109375" bestFit="1" customWidth="1"/>
    <col min="2" max="2" width="5.140625" bestFit="1" customWidth="1"/>
    <col min="3" max="3" width="10.42578125" bestFit="1" customWidth="1"/>
    <col min="4" max="4" width="8.42578125" bestFit="1" customWidth="1"/>
    <col min="5" max="5" width="13.42578125" bestFit="1" customWidth="1"/>
    <col min="6" max="6" width="10.42578125" bestFit="1" customWidth="1"/>
  </cols>
  <sheetData>
    <row r="1" spans="1:6" x14ac:dyDescent="0.25">
      <c r="A1" t="s">
        <v>220</v>
      </c>
      <c r="B1" t="s">
        <v>221</v>
      </c>
      <c r="C1" t="s">
        <v>0</v>
      </c>
      <c r="D1" t="s">
        <v>2</v>
      </c>
      <c r="E1" t="s">
        <v>54</v>
      </c>
      <c r="F1" t="s">
        <v>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96414-93B4-45BB-8C5A-BCFD0DBEB0D3}">
  <sheetPr codeName="Feuil4"/>
  <dimension ref="A1:C5"/>
  <sheetViews>
    <sheetView workbookViewId="0">
      <selection activeCell="A2" sqref="A2"/>
    </sheetView>
  </sheetViews>
  <sheetFormatPr baseColWidth="10" defaultRowHeight="15" x14ac:dyDescent="0.25"/>
  <cols>
    <col min="1" max="1" width="29.42578125" bestFit="1" customWidth="1"/>
    <col min="2" max="2" width="8.7109375" bestFit="1" customWidth="1"/>
    <col min="3" max="3" width="14.42578125" bestFit="1" customWidth="1"/>
  </cols>
  <sheetData>
    <row r="1" spans="1:3" x14ac:dyDescent="0.25">
      <c r="A1" t="s">
        <v>209</v>
      </c>
      <c r="B1" t="s">
        <v>57</v>
      </c>
      <c r="C1" t="s">
        <v>222</v>
      </c>
    </row>
    <row r="2" spans="1:3" x14ac:dyDescent="0.25">
      <c r="A2" t="s">
        <v>223</v>
      </c>
      <c r="B2" t="s">
        <v>109</v>
      </c>
      <c r="C2">
        <v>0</v>
      </c>
    </row>
    <row r="3" spans="1:3" x14ac:dyDescent="0.25">
      <c r="A3" t="s">
        <v>224</v>
      </c>
      <c r="B3" t="s">
        <v>109</v>
      </c>
      <c r="C3">
        <v>0</v>
      </c>
    </row>
    <row r="4" spans="1:3" x14ac:dyDescent="0.25">
      <c r="A4" t="s">
        <v>225</v>
      </c>
      <c r="B4" t="s">
        <v>109</v>
      </c>
      <c r="C4">
        <v>0</v>
      </c>
    </row>
    <row r="5" spans="1:3" x14ac:dyDescent="0.25">
      <c r="A5" t="s">
        <v>226</v>
      </c>
      <c r="B5" t="s">
        <v>109</v>
      </c>
      <c r="C5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5B2EE-969A-47AA-99D1-6A6AF6C6CEEC}">
  <sheetPr codeName="Feuil5"/>
  <dimension ref="A1:G81"/>
  <sheetViews>
    <sheetView topLeftCell="A40" workbookViewId="0">
      <selection activeCell="A2" sqref="A2:A81"/>
    </sheetView>
  </sheetViews>
  <sheetFormatPr baseColWidth="10" defaultRowHeight="15" x14ac:dyDescent="0.25"/>
  <cols>
    <col min="1" max="1" width="10.42578125" bestFit="1" customWidth="1"/>
    <col min="2" max="2" width="22.7109375" bestFit="1" customWidth="1"/>
    <col min="4" max="5" width="10" bestFit="1" customWidth="1"/>
    <col min="6" max="6" width="13.42578125" bestFit="1" customWidth="1"/>
    <col min="7" max="7" width="10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8</v>
      </c>
      <c r="C2" t="s">
        <v>9</v>
      </c>
      <c r="D2">
        <v>116899.69</v>
      </c>
      <c r="E2">
        <v>0</v>
      </c>
      <c r="F2" t="s">
        <v>10</v>
      </c>
      <c r="G2">
        <v>116899.69</v>
      </c>
    </row>
    <row r="3" spans="1:7" x14ac:dyDescent="0.25">
      <c r="A3" t="s">
        <v>11</v>
      </c>
      <c r="B3" t="s">
        <v>12</v>
      </c>
      <c r="C3" t="s">
        <v>9</v>
      </c>
      <c r="D3">
        <v>9376.8799999999992</v>
      </c>
      <c r="E3">
        <v>0</v>
      </c>
      <c r="F3" t="s">
        <v>10</v>
      </c>
      <c r="G3">
        <v>9376.8799999999992</v>
      </c>
    </row>
    <row r="4" spans="1:7" x14ac:dyDescent="0.25">
      <c r="A4" t="s">
        <v>13</v>
      </c>
      <c r="B4" t="s">
        <v>14</v>
      </c>
      <c r="C4" t="s">
        <v>9</v>
      </c>
      <c r="D4">
        <v>53130.13</v>
      </c>
      <c r="E4">
        <v>0</v>
      </c>
      <c r="F4" t="s">
        <v>10</v>
      </c>
      <c r="G4">
        <v>53130.13</v>
      </c>
    </row>
    <row r="5" spans="1:7" x14ac:dyDescent="0.25">
      <c r="A5" t="s">
        <v>15</v>
      </c>
      <c r="B5" t="s">
        <v>16</v>
      </c>
      <c r="C5" t="s">
        <v>9</v>
      </c>
      <c r="D5">
        <v>44061.88</v>
      </c>
      <c r="E5">
        <v>0</v>
      </c>
      <c r="F5" t="s">
        <v>10</v>
      </c>
      <c r="G5">
        <v>44061.88</v>
      </c>
    </row>
    <row r="6" spans="1:7" x14ac:dyDescent="0.25">
      <c r="A6" t="s">
        <v>17</v>
      </c>
      <c r="B6" t="s">
        <v>18</v>
      </c>
      <c r="C6" t="s">
        <v>9</v>
      </c>
      <c r="D6">
        <v>0</v>
      </c>
      <c r="E6">
        <v>198466.49</v>
      </c>
      <c r="F6" t="s">
        <v>10</v>
      </c>
      <c r="G6">
        <v>-198466.49</v>
      </c>
    </row>
    <row r="7" spans="1:7" x14ac:dyDescent="0.25">
      <c r="A7" t="s">
        <v>19</v>
      </c>
      <c r="B7" t="s">
        <v>20</v>
      </c>
      <c r="C7" t="s">
        <v>9</v>
      </c>
      <c r="D7">
        <v>0</v>
      </c>
      <c r="E7">
        <v>168033.03</v>
      </c>
      <c r="F7" t="s">
        <v>10</v>
      </c>
      <c r="G7">
        <v>-168033.03</v>
      </c>
    </row>
    <row r="8" spans="1:7" x14ac:dyDescent="0.25">
      <c r="A8" t="s">
        <v>21</v>
      </c>
      <c r="B8" t="s">
        <v>22</v>
      </c>
      <c r="C8" t="s">
        <v>9</v>
      </c>
      <c r="D8">
        <v>0</v>
      </c>
      <c r="E8">
        <v>73927.78</v>
      </c>
      <c r="F8" t="s">
        <v>10</v>
      </c>
      <c r="G8">
        <v>-73927.78</v>
      </c>
    </row>
    <row r="9" spans="1:7" x14ac:dyDescent="0.25">
      <c r="A9" t="s">
        <v>23</v>
      </c>
      <c r="B9" t="s">
        <v>24</v>
      </c>
      <c r="C9" t="s">
        <v>9</v>
      </c>
      <c r="D9">
        <v>0</v>
      </c>
      <c r="E9">
        <v>71260.03</v>
      </c>
      <c r="F9" t="s">
        <v>10</v>
      </c>
      <c r="G9">
        <v>-71260.03</v>
      </c>
    </row>
    <row r="10" spans="1:7" x14ac:dyDescent="0.25">
      <c r="A10" t="s">
        <v>25</v>
      </c>
      <c r="B10" t="s">
        <v>26</v>
      </c>
      <c r="C10" t="s">
        <v>9</v>
      </c>
      <c r="D10">
        <v>0</v>
      </c>
      <c r="E10">
        <v>180887.05</v>
      </c>
      <c r="F10" t="s">
        <v>27</v>
      </c>
      <c r="G10">
        <v>-180887.05</v>
      </c>
    </row>
    <row r="11" spans="1:7" x14ac:dyDescent="0.25">
      <c r="A11" t="s">
        <v>28</v>
      </c>
      <c r="B11" t="s">
        <v>29</v>
      </c>
      <c r="C11" t="s">
        <v>9</v>
      </c>
      <c r="D11">
        <v>0</v>
      </c>
      <c r="E11">
        <v>244734.83</v>
      </c>
      <c r="F11" t="s">
        <v>27</v>
      </c>
      <c r="G11">
        <v>-244734.83</v>
      </c>
    </row>
    <row r="12" spans="1:7" x14ac:dyDescent="0.25">
      <c r="A12" t="s">
        <v>30</v>
      </c>
      <c r="B12" t="s">
        <v>31</v>
      </c>
      <c r="C12" t="s">
        <v>9</v>
      </c>
      <c r="D12">
        <v>133882.46</v>
      </c>
      <c r="E12">
        <v>0</v>
      </c>
      <c r="F12" t="s">
        <v>27</v>
      </c>
      <c r="G12">
        <v>133882.46</v>
      </c>
    </row>
    <row r="13" spans="1:7" x14ac:dyDescent="0.25">
      <c r="A13" t="s">
        <v>32</v>
      </c>
      <c r="B13" t="s">
        <v>33</v>
      </c>
      <c r="C13" t="s">
        <v>9</v>
      </c>
      <c r="D13">
        <v>123422.41</v>
      </c>
      <c r="E13">
        <v>0</v>
      </c>
      <c r="F13" t="s">
        <v>27</v>
      </c>
      <c r="G13">
        <v>123422.41</v>
      </c>
    </row>
    <row r="14" spans="1:7" x14ac:dyDescent="0.25">
      <c r="A14" t="s">
        <v>34</v>
      </c>
      <c r="B14" t="s">
        <v>35</v>
      </c>
      <c r="C14" t="s">
        <v>9</v>
      </c>
      <c r="D14">
        <v>161131.42000000001</v>
      </c>
      <c r="E14">
        <v>0</v>
      </c>
      <c r="F14" t="s">
        <v>27</v>
      </c>
      <c r="G14">
        <v>161131.42000000001</v>
      </c>
    </row>
    <row r="15" spans="1:7" x14ac:dyDescent="0.25">
      <c r="A15" t="s">
        <v>36</v>
      </c>
      <c r="B15" t="s">
        <v>37</v>
      </c>
      <c r="C15" t="s">
        <v>9</v>
      </c>
      <c r="D15">
        <v>20214.3</v>
      </c>
      <c r="E15">
        <v>0</v>
      </c>
      <c r="F15" t="s">
        <v>27</v>
      </c>
      <c r="G15">
        <v>20214.3</v>
      </c>
    </row>
    <row r="16" spans="1:7" x14ac:dyDescent="0.25">
      <c r="A16" t="s">
        <v>38</v>
      </c>
      <c r="B16" t="s">
        <v>39</v>
      </c>
      <c r="C16" t="s">
        <v>9</v>
      </c>
      <c r="D16">
        <v>78836.320000000007</v>
      </c>
      <c r="E16">
        <v>0</v>
      </c>
      <c r="F16" t="s">
        <v>27</v>
      </c>
      <c r="G16">
        <v>78836.320000000007</v>
      </c>
    </row>
    <row r="17" spans="1:7" x14ac:dyDescent="0.25">
      <c r="A17" t="s">
        <v>40</v>
      </c>
      <c r="B17" t="s">
        <v>41</v>
      </c>
      <c r="C17" t="s">
        <v>9</v>
      </c>
      <c r="D17">
        <v>10214.51</v>
      </c>
      <c r="E17">
        <v>0</v>
      </c>
      <c r="F17" t="s">
        <v>27</v>
      </c>
      <c r="G17">
        <v>10214.51</v>
      </c>
    </row>
    <row r="18" spans="1:7" x14ac:dyDescent="0.25">
      <c r="A18" t="s">
        <v>42</v>
      </c>
      <c r="B18" t="s">
        <v>43</v>
      </c>
      <c r="C18" t="s">
        <v>9</v>
      </c>
      <c r="D18">
        <v>43261.65</v>
      </c>
      <c r="E18">
        <v>0</v>
      </c>
      <c r="F18" t="s">
        <v>27</v>
      </c>
      <c r="G18">
        <v>43261.65</v>
      </c>
    </row>
    <row r="19" spans="1:7" x14ac:dyDescent="0.25">
      <c r="A19" t="s">
        <v>44</v>
      </c>
      <c r="B19" t="s">
        <v>45</v>
      </c>
      <c r="C19" t="s">
        <v>9</v>
      </c>
      <c r="D19">
        <v>93437.18</v>
      </c>
      <c r="E19">
        <v>0</v>
      </c>
      <c r="F19" t="s">
        <v>27</v>
      </c>
      <c r="G19">
        <v>93437.18</v>
      </c>
    </row>
    <row r="20" spans="1:7" x14ac:dyDescent="0.25">
      <c r="A20" t="s">
        <v>46</v>
      </c>
      <c r="B20" t="s">
        <v>47</v>
      </c>
      <c r="C20" t="s">
        <v>9</v>
      </c>
      <c r="D20">
        <v>9643.7900000000009</v>
      </c>
      <c r="E20">
        <v>0</v>
      </c>
      <c r="F20" t="s">
        <v>27</v>
      </c>
      <c r="G20">
        <v>9643.7900000000009</v>
      </c>
    </row>
    <row r="21" spans="1:7" x14ac:dyDescent="0.25">
      <c r="A21" t="s">
        <v>48</v>
      </c>
      <c r="B21" t="s">
        <v>49</v>
      </c>
      <c r="C21" t="s">
        <v>9</v>
      </c>
      <c r="D21">
        <v>39796.589999999997</v>
      </c>
      <c r="E21">
        <v>0</v>
      </c>
      <c r="F21" t="s">
        <v>27</v>
      </c>
      <c r="G21">
        <v>39796.589999999997</v>
      </c>
    </row>
    <row r="22" spans="1:7" x14ac:dyDescent="0.25">
      <c r="A22" t="s">
        <v>7</v>
      </c>
      <c r="B22" t="s">
        <v>8</v>
      </c>
      <c r="C22" t="s">
        <v>50</v>
      </c>
      <c r="D22">
        <v>6137.28</v>
      </c>
      <c r="E22">
        <v>0</v>
      </c>
      <c r="F22" t="s">
        <v>10</v>
      </c>
      <c r="G22">
        <v>6137.28</v>
      </c>
    </row>
    <row r="23" spans="1:7" x14ac:dyDescent="0.25">
      <c r="A23" t="s">
        <v>11</v>
      </c>
      <c r="B23" t="s">
        <v>12</v>
      </c>
      <c r="C23" t="s">
        <v>50</v>
      </c>
      <c r="D23">
        <v>146018.37</v>
      </c>
      <c r="E23">
        <v>0</v>
      </c>
      <c r="F23" t="s">
        <v>10</v>
      </c>
      <c r="G23">
        <v>146018.37</v>
      </c>
    </row>
    <row r="24" spans="1:7" x14ac:dyDescent="0.25">
      <c r="A24" t="s">
        <v>13</v>
      </c>
      <c r="B24" t="s">
        <v>14</v>
      </c>
      <c r="C24" t="s">
        <v>50</v>
      </c>
      <c r="D24">
        <v>127174.39</v>
      </c>
      <c r="E24">
        <v>0</v>
      </c>
      <c r="F24" t="s">
        <v>10</v>
      </c>
      <c r="G24">
        <v>127174.39</v>
      </c>
    </row>
    <row r="25" spans="1:7" x14ac:dyDescent="0.25">
      <c r="A25" t="s">
        <v>15</v>
      </c>
      <c r="B25" t="s">
        <v>16</v>
      </c>
      <c r="C25" t="s">
        <v>50</v>
      </c>
      <c r="D25">
        <v>64543.839999999997</v>
      </c>
      <c r="E25">
        <v>0</v>
      </c>
      <c r="F25" t="s">
        <v>10</v>
      </c>
      <c r="G25">
        <v>64543.839999999997</v>
      </c>
    </row>
    <row r="26" spans="1:7" x14ac:dyDescent="0.25">
      <c r="A26" t="s">
        <v>17</v>
      </c>
      <c r="B26" t="s">
        <v>18</v>
      </c>
      <c r="C26" t="s">
        <v>50</v>
      </c>
      <c r="D26">
        <v>0</v>
      </c>
      <c r="E26">
        <v>292203.57</v>
      </c>
      <c r="F26" t="s">
        <v>10</v>
      </c>
      <c r="G26">
        <v>-292203.57</v>
      </c>
    </row>
    <row r="27" spans="1:7" x14ac:dyDescent="0.25">
      <c r="A27" t="s">
        <v>19</v>
      </c>
      <c r="B27" t="s">
        <v>20</v>
      </c>
      <c r="C27" t="s">
        <v>50</v>
      </c>
      <c r="D27">
        <v>0</v>
      </c>
      <c r="E27">
        <v>119774.97</v>
      </c>
      <c r="F27" t="s">
        <v>10</v>
      </c>
      <c r="G27">
        <v>-119774.97</v>
      </c>
    </row>
    <row r="28" spans="1:7" x14ac:dyDescent="0.25">
      <c r="A28" t="s">
        <v>21</v>
      </c>
      <c r="B28" t="s">
        <v>22</v>
      </c>
      <c r="C28" t="s">
        <v>50</v>
      </c>
      <c r="D28">
        <v>0</v>
      </c>
      <c r="E28">
        <v>170091.78</v>
      </c>
      <c r="F28" t="s">
        <v>10</v>
      </c>
      <c r="G28">
        <v>-170091.78</v>
      </c>
    </row>
    <row r="29" spans="1:7" x14ac:dyDescent="0.25">
      <c r="A29" t="s">
        <v>23</v>
      </c>
      <c r="B29" t="s">
        <v>24</v>
      </c>
      <c r="C29" t="s">
        <v>50</v>
      </c>
      <c r="D29">
        <v>0</v>
      </c>
      <c r="E29">
        <v>275440.62</v>
      </c>
      <c r="F29" t="s">
        <v>10</v>
      </c>
      <c r="G29">
        <v>-275440.62</v>
      </c>
    </row>
    <row r="30" spans="1:7" x14ac:dyDescent="0.25">
      <c r="A30" t="s">
        <v>25</v>
      </c>
      <c r="B30" t="s">
        <v>26</v>
      </c>
      <c r="C30" t="s">
        <v>50</v>
      </c>
      <c r="D30">
        <v>0</v>
      </c>
      <c r="E30">
        <v>250527.35</v>
      </c>
      <c r="F30" t="s">
        <v>27</v>
      </c>
      <c r="G30">
        <v>-250527.35</v>
      </c>
    </row>
    <row r="31" spans="1:7" x14ac:dyDescent="0.25">
      <c r="A31" t="s">
        <v>28</v>
      </c>
      <c r="B31" t="s">
        <v>29</v>
      </c>
      <c r="C31" t="s">
        <v>50</v>
      </c>
      <c r="D31">
        <v>0</v>
      </c>
      <c r="E31">
        <v>189370.73</v>
      </c>
      <c r="F31" t="s">
        <v>27</v>
      </c>
      <c r="G31">
        <v>-189370.73</v>
      </c>
    </row>
    <row r="32" spans="1:7" x14ac:dyDescent="0.25">
      <c r="A32" t="s">
        <v>30</v>
      </c>
      <c r="B32" t="s">
        <v>31</v>
      </c>
      <c r="C32" t="s">
        <v>50</v>
      </c>
      <c r="D32">
        <v>32208.91</v>
      </c>
      <c r="E32">
        <v>0</v>
      </c>
      <c r="F32" t="s">
        <v>27</v>
      </c>
      <c r="G32">
        <v>32208.91</v>
      </c>
    </row>
    <row r="33" spans="1:7" x14ac:dyDescent="0.25">
      <c r="A33" t="s">
        <v>32</v>
      </c>
      <c r="B33" t="s">
        <v>33</v>
      </c>
      <c r="C33" t="s">
        <v>50</v>
      </c>
      <c r="D33">
        <v>172512.29</v>
      </c>
      <c r="E33">
        <v>0</v>
      </c>
      <c r="F33" t="s">
        <v>27</v>
      </c>
      <c r="G33">
        <v>172512.29</v>
      </c>
    </row>
    <row r="34" spans="1:7" x14ac:dyDescent="0.25">
      <c r="A34" t="s">
        <v>34</v>
      </c>
      <c r="B34" t="s">
        <v>35</v>
      </c>
      <c r="C34" t="s">
        <v>50</v>
      </c>
      <c r="D34">
        <v>63904.05</v>
      </c>
      <c r="E34">
        <v>0</v>
      </c>
      <c r="F34" t="s">
        <v>27</v>
      </c>
      <c r="G34">
        <v>63904.05</v>
      </c>
    </row>
    <row r="35" spans="1:7" x14ac:dyDescent="0.25">
      <c r="A35" t="s">
        <v>36</v>
      </c>
      <c r="B35" t="s">
        <v>37</v>
      </c>
      <c r="C35" t="s">
        <v>50</v>
      </c>
      <c r="D35">
        <v>21230.52</v>
      </c>
      <c r="E35">
        <v>0</v>
      </c>
      <c r="F35" t="s">
        <v>27</v>
      </c>
      <c r="G35">
        <v>21230.52</v>
      </c>
    </row>
    <row r="36" spans="1:7" x14ac:dyDescent="0.25">
      <c r="A36" t="s">
        <v>38</v>
      </c>
      <c r="B36" t="s">
        <v>39</v>
      </c>
      <c r="C36" t="s">
        <v>50</v>
      </c>
      <c r="D36">
        <v>21925.37</v>
      </c>
      <c r="E36">
        <v>0</v>
      </c>
      <c r="F36" t="s">
        <v>27</v>
      </c>
      <c r="G36">
        <v>21925.37</v>
      </c>
    </row>
    <row r="37" spans="1:7" x14ac:dyDescent="0.25">
      <c r="A37" t="s">
        <v>40</v>
      </c>
      <c r="B37" t="s">
        <v>41</v>
      </c>
      <c r="C37" t="s">
        <v>50</v>
      </c>
      <c r="D37">
        <v>153311.51</v>
      </c>
      <c r="E37">
        <v>0</v>
      </c>
      <c r="F37" t="s">
        <v>27</v>
      </c>
      <c r="G37">
        <v>153311.51</v>
      </c>
    </row>
    <row r="38" spans="1:7" x14ac:dyDescent="0.25">
      <c r="A38" t="s">
        <v>42</v>
      </c>
      <c r="B38" t="s">
        <v>43</v>
      </c>
      <c r="C38" t="s">
        <v>50</v>
      </c>
      <c r="D38">
        <v>110652.06</v>
      </c>
      <c r="E38">
        <v>0</v>
      </c>
      <c r="F38" t="s">
        <v>27</v>
      </c>
      <c r="G38">
        <v>110652.06</v>
      </c>
    </row>
    <row r="39" spans="1:7" x14ac:dyDescent="0.25">
      <c r="A39" t="s">
        <v>44</v>
      </c>
      <c r="B39" t="s">
        <v>45</v>
      </c>
      <c r="C39" t="s">
        <v>50</v>
      </c>
      <c r="D39">
        <v>146247.45000000001</v>
      </c>
      <c r="E39">
        <v>0</v>
      </c>
      <c r="F39" t="s">
        <v>27</v>
      </c>
      <c r="G39">
        <v>146247.45000000001</v>
      </c>
    </row>
    <row r="40" spans="1:7" x14ac:dyDescent="0.25">
      <c r="A40" t="s">
        <v>46</v>
      </c>
      <c r="B40" t="s">
        <v>47</v>
      </c>
      <c r="C40" t="s">
        <v>50</v>
      </c>
      <c r="D40">
        <v>132703.06</v>
      </c>
      <c r="E40">
        <v>0</v>
      </c>
      <c r="F40" t="s">
        <v>27</v>
      </c>
      <c r="G40">
        <v>132703.06</v>
      </c>
    </row>
    <row r="41" spans="1:7" x14ac:dyDescent="0.25">
      <c r="A41" t="s">
        <v>48</v>
      </c>
      <c r="B41" t="s">
        <v>49</v>
      </c>
      <c r="C41" t="s">
        <v>50</v>
      </c>
      <c r="D41">
        <v>98839.92</v>
      </c>
      <c r="E41">
        <v>0</v>
      </c>
      <c r="F41" t="s">
        <v>27</v>
      </c>
      <c r="G41">
        <v>98839.92</v>
      </c>
    </row>
    <row r="42" spans="1:7" x14ac:dyDescent="0.25">
      <c r="A42" t="s">
        <v>7</v>
      </c>
      <c r="B42" t="s">
        <v>8</v>
      </c>
      <c r="C42" t="s">
        <v>51</v>
      </c>
      <c r="D42">
        <v>155798.71</v>
      </c>
      <c r="E42">
        <v>0</v>
      </c>
      <c r="F42" t="s">
        <v>10</v>
      </c>
      <c r="G42">
        <v>155798.71</v>
      </c>
    </row>
    <row r="43" spans="1:7" x14ac:dyDescent="0.25">
      <c r="A43" t="s">
        <v>11</v>
      </c>
      <c r="B43" t="s">
        <v>12</v>
      </c>
      <c r="C43" t="s">
        <v>51</v>
      </c>
      <c r="D43">
        <v>106036.63</v>
      </c>
      <c r="E43">
        <v>0</v>
      </c>
      <c r="F43" t="s">
        <v>10</v>
      </c>
      <c r="G43">
        <v>106036.63</v>
      </c>
    </row>
    <row r="44" spans="1:7" x14ac:dyDescent="0.25">
      <c r="A44" t="s">
        <v>13</v>
      </c>
      <c r="B44" t="s">
        <v>14</v>
      </c>
      <c r="C44" t="s">
        <v>51</v>
      </c>
      <c r="D44">
        <v>128300.07</v>
      </c>
      <c r="E44">
        <v>0</v>
      </c>
      <c r="F44" t="s">
        <v>10</v>
      </c>
      <c r="G44">
        <v>128300.07</v>
      </c>
    </row>
    <row r="45" spans="1:7" x14ac:dyDescent="0.25">
      <c r="A45" t="s">
        <v>15</v>
      </c>
      <c r="B45" t="s">
        <v>16</v>
      </c>
      <c r="C45" t="s">
        <v>51</v>
      </c>
      <c r="D45">
        <v>13019.27</v>
      </c>
      <c r="E45">
        <v>0</v>
      </c>
      <c r="F45" t="s">
        <v>10</v>
      </c>
      <c r="G45">
        <v>13019.27</v>
      </c>
    </row>
    <row r="46" spans="1:7" x14ac:dyDescent="0.25">
      <c r="A46" t="s">
        <v>17</v>
      </c>
      <c r="B46" t="s">
        <v>18</v>
      </c>
      <c r="C46" t="s">
        <v>51</v>
      </c>
      <c r="D46">
        <v>0</v>
      </c>
      <c r="E46">
        <v>87423.57</v>
      </c>
      <c r="F46" t="s">
        <v>10</v>
      </c>
      <c r="G46">
        <v>-87423.57</v>
      </c>
    </row>
    <row r="47" spans="1:7" x14ac:dyDescent="0.25">
      <c r="A47" t="s">
        <v>19</v>
      </c>
      <c r="B47" t="s">
        <v>20</v>
      </c>
      <c r="C47" t="s">
        <v>51</v>
      </c>
      <c r="D47">
        <v>0</v>
      </c>
      <c r="E47">
        <v>281629.83</v>
      </c>
      <c r="F47" t="s">
        <v>10</v>
      </c>
      <c r="G47">
        <v>-281629.83</v>
      </c>
    </row>
    <row r="48" spans="1:7" x14ac:dyDescent="0.25">
      <c r="A48" t="s">
        <v>21</v>
      </c>
      <c r="B48" t="s">
        <v>22</v>
      </c>
      <c r="C48" t="s">
        <v>51</v>
      </c>
      <c r="D48">
        <v>0</v>
      </c>
      <c r="E48">
        <v>197930.26</v>
      </c>
      <c r="F48" t="s">
        <v>10</v>
      </c>
      <c r="G48">
        <v>-197930.26</v>
      </c>
    </row>
    <row r="49" spans="1:7" x14ac:dyDescent="0.25">
      <c r="A49" t="s">
        <v>23</v>
      </c>
      <c r="B49" t="s">
        <v>24</v>
      </c>
      <c r="C49" t="s">
        <v>51</v>
      </c>
      <c r="D49">
        <v>0</v>
      </c>
      <c r="E49">
        <v>127976.36</v>
      </c>
      <c r="F49" t="s">
        <v>10</v>
      </c>
      <c r="G49">
        <v>-127976.36</v>
      </c>
    </row>
    <row r="50" spans="1:7" x14ac:dyDescent="0.25">
      <c r="A50" t="s">
        <v>25</v>
      </c>
      <c r="B50" t="s">
        <v>26</v>
      </c>
      <c r="C50" t="s">
        <v>51</v>
      </c>
      <c r="D50">
        <v>0</v>
      </c>
      <c r="E50">
        <v>186647.99</v>
      </c>
      <c r="F50" t="s">
        <v>27</v>
      </c>
      <c r="G50">
        <v>-186647.99</v>
      </c>
    </row>
    <row r="51" spans="1:7" x14ac:dyDescent="0.25">
      <c r="A51" t="s">
        <v>28</v>
      </c>
      <c r="B51" t="s">
        <v>29</v>
      </c>
      <c r="C51" t="s">
        <v>51</v>
      </c>
      <c r="D51">
        <v>0</v>
      </c>
      <c r="E51">
        <v>59630.21</v>
      </c>
      <c r="F51" t="s">
        <v>27</v>
      </c>
      <c r="G51">
        <v>-59630.21</v>
      </c>
    </row>
    <row r="52" spans="1:7" x14ac:dyDescent="0.25">
      <c r="A52" t="s">
        <v>30</v>
      </c>
      <c r="B52" t="s">
        <v>31</v>
      </c>
      <c r="C52" t="s">
        <v>51</v>
      </c>
      <c r="D52">
        <v>44882.2</v>
      </c>
      <c r="E52">
        <v>0</v>
      </c>
      <c r="F52" t="s">
        <v>27</v>
      </c>
      <c r="G52">
        <v>44882.2</v>
      </c>
    </row>
    <row r="53" spans="1:7" x14ac:dyDescent="0.25">
      <c r="A53" t="s">
        <v>32</v>
      </c>
      <c r="B53" t="s">
        <v>33</v>
      </c>
      <c r="C53" t="s">
        <v>51</v>
      </c>
      <c r="D53">
        <v>55642.89</v>
      </c>
      <c r="E53">
        <v>0</v>
      </c>
      <c r="F53" t="s">
        <v>27</v>
      </c>
      <c r="G53">
        <v>55642.89</v>
      </c>
    </row>
    <row r="54" spans="1:7" x14ac:dyDescent="0.25">
      <c r="A54" t="s">
        <v>34</v>
      </c>
      <c r="B54" t="s">
        <v>35</v>
      </c>
      <c r="C54" t="s">
        <v>51</v>
      </c>
      <c r="D54">
        <v>18963.599999999999</v>
      </c>
      <c r="E54">
        <v>0</v>
      </c>
      <c r="F54" t="s">
        <v>27</v>
      </c>
      <c r="G54">
        <v>18963.599999999999</v>
      </c>
    </row>
    <row r="55" spans="1:7" x14ac:dyDescent="0.25">
      <c r="A55" t="s">
        <v>36</v>
      </c>
      <c r="B55" t="s">
        <v>37</v>
      </c>
      <c r="C55" t="s">
        <v>51</v>
      </c>
      <c r="D55">
        <v>45738.41</v>
      </c>
      <c r="E55">
        <v>0</v>
      </c>
      <c r="F55" t="s">
        <v>27</v>
      </c>
      <c r="G55">
        <v>45738.41</v>
      </c>
    </row>
    <row r="56" spans="1:7" x14ac:dyDescent="0.25">
      <c r="A56" t="s">
        <v>38</v>
      </c>
      <c r="B56" t="s">
        <v>39</v>
      </c>
      <c r="C56" t="s">
        <v>51</v>
      </c>
      <c r="D56">
        <v>22675.25</v>
      </c>
      <c r="E56">
        <v>0</v>
      </c>
      <c r="F56" t="s">
        <v>27</v>
      </c>
      <c r="G56">
        <v>22675.25</v>
      </c>
    </row>
    <row r="57" spans="1:7" x14ac:dyDescent="0.25">
      <c r="A57" t="s">
        <v>40</v>
      </c>
      <c r="B57" t="s">
        <v>41</v>
      </c>
      <c r="C57" t="s">
        <v>51</v>
      </c>
      <c r="D57">
        <v>53645.38</v>
      </c>
      <c r="E57">
        <v>0</v>
      </c>
      <c r="F57" t="s">
        <v>27</v>
      </c>
      <c r="G57">
        <v>53645.38</v>
      </c>
    </row>
    <row r="58" spans="1:7" x14ac:dyDescent="0.25">
      <c r="A58" t="s">
        <v>42</v>
      </c>
      <c r="B58" t="s">
        <v>43</v>
      </c>
      <c r="C58" t="s">
        <v>51</v>
      </c>
      <c r="D58">
        <v>116244.78</v>
      </c>
      <c r="E58">
        <v>0</v>
      </c>
      <c r="F58" t="s">
        <v>27</v>
      </c>
      <c r="G58">
        <v>116244.78</v>
      </c>
    </row>
    <row r="59" spans="1:7" x14ac:dyDescent="0.25">
      <c r="A59" t="s">
        <v>44</v>
      </c>
      <c r="B59" t="s">
        <v>45</v>
      </c>
      <c r="C59" t="s">
        <v>51</v>
      </c>
      <c r="D59">
        <v>68845.63</v>
      </c>
      <c r="E59">
        <v>0</v>
      </c>
      <c r="F59" t="s">
        <v>27</v>
      </c>
      <c r="G59">
        <v>68845.63</v>
      </c>
    </row>
    <row r="60" spans="1:7" x14ac:dyDescent="0.25">
      <c r="A60" t="s">
        <v>46</v>
      </c>
      <c r="B60" t="s">
        <v>47</v>
      </c>
      <c r="C60" t="s">
        <v>51</v>
      </c>
      <c r="D60">
        <v>69781.67</v>
      </c>
      <c r="E60">
        <v>0</v>
      </c>
      <c r="F60" t="s">
        <v>27</v>
      </c>
      <c r="G60">
        <v>69781.67</v>
      </c>
    </row>
    <row r="61" spans="1:7" x14ac:dyDescent="0.25">
      <c r="A61" t="s">
        <v>48</v>
      </c>
      <c r="B61" t="s">
        <v>49</v>
      </c>
      <c r="C61" t="s">
        <v>51</v>
      </c>
      <c r="D61">
        <v>41663.730000000003</v>
      </c>
      <c r="E61">
        <v>0</v>
      </c>
      <c r="F61" t="s">
        <v>27</v>
      </c>
      <c r="G61">
        <v>41663.730000000003</v>
      </c>
    </row>
    <row r="62" spans="1:7" x14ac:dyDescent="0.25">
      <c r="A62" t="s">
        <v>7</v>
      </c>
      <c r="B62" t="s">
        <v>8</v>
      </c>
      <c r="C62" t="s">
        <v>52</v>
      </c>
      <c r="D62">
        <v>132597.19</v>
      </c>
      <c r="E62">
        <v>0</v>
      </c>
      <c r="F62" t="s">
        <v>10</v>
      </c>
      <c r="G62">
        <v>132597.19</v>
      </c>
    </row>
    <row r="63" spans="1:7" x14ac:dyDescent="0.25">
      <c r="A63" t="s">
        <v>11</v>
      </c>
      <c r="B63" t="s">
        <v>12</v>
      </c>
      <c r="C63" t="s">
        <v>52</v>
      </c>
      <c r="D63">
        <v>33595.440000000002</v>
      </c>
      <c r="E63">
        <v>0</v>
      </c>
      <c r="F63" t="s">
        <v>10</v>
      </c>
      <c r="G63">
        <v>33595.440000000002</v>
      </c>
    </row>
    <row r="64" spans="1:7" x14ac:dyDescent="0.25">
      <c r="A64" t="s">
        <v>13</v>
      </c>
      <c r="B64" t="s">
        <v>14</v>
      </c>
      <c r="C64" t="s">
        <v>52</v>
      </c>
      <c r="D64">
        <v>71404.7</v>
      </c>
      <c r="E64">
        <v>0</v>
      </c>
      <c r="F64" t="s">
        <v>10</v>
      </c>
      <c r="G64">
        <v>71404.7</v>
      </c>
    </row>
    <row r="65" spans="1:7" x14ac:dyDescent="0.25">
      <c r="A65" t="s">
        <v>15</v>
      </c>
      <c r="B65" t="s">
        <v>16</v>
      </c>
      <c r="C65" t="s">
        <v>52</v>
      </c>
      <c r="D65">
        <v>178166.59</v>
      </c>
      <c r="E65">
        <v>0</v>
      </c>
      <c r="F65" t="s">
        <v>10</v>
      </c>
      <c r="G65">
        <v>178166.59</v>
      </c>
    </row>
    <row r="66" spans="1:7" x14ac:dyDescent="0.25">
      <c r="A66" t="s">
        <v>17</v>
      </c>
      <c r="B66" t="s">
        <v>18</v>
      </c>
      <c r="C66" t="s">
        <v>52</v>
      </c>
      <c r="D66">
        <v>0</v>
      </c>
      <c r="E66">
        <v>283443.82</v>
      </c>
      <c r="F66" t="s">
        <v>10</v>
      </c>
      <c r="G66">
        <v>-283443.82</v>
      </c>
    </row>
    <row r="67" spans="1:7" x14ac:dyDescent="0.25">
      <c r="A67" t="s">
        <v>19</v>
      </c>
      <c r="B67" t="s">
        <v>20</v>
      </c>
      <c r="C67" t="s">
        <v>52</v>
      </c>
      <c r="D67">
        <v>0</v>
      </c>
      <c r="E67">
        <v>264146.61</v>
      </c>
      <c r="F67" t="s">
        <v>10</v>
      </c>
      <c r="G67">
        <v>-264146.61</v>
      </c>
    </row>
    <row r="68" spans="1:7" x14ac:dyDescent="0.25">
      <c r="A68" t="s">
        <v>21</v>
      </c>
      <c r="B68" t="s">
        <v>22</v>
      </c>
      <c r="C68" t="s">
        <v>52</v>
      </c>
      <c r="D68">
        <v>0</v>
      </c>
      <c r="E68">
        <v>101256.59</v>
      </c>
      <c r="F68" t="s">
        <v>10</v>
      </c>
      <c r="G68">
        <v>-101256.59</v>
      </c>
    </row>
    <row r="69" spans="1:7" x14ac:dyDescent="0.25">
      <c r="A69" t="s">
        <v>23</v>
      </c>
      <c r="B69" t="s">
        <v>24</v>
      </c>
      <c r="C69" t="s">
        <v>52</v>
      </c>
      <c r="D69">
        <v>0</v>
      </c>
      <c r="E69">
        <v>289361.05</v>
      </c>
      <c r="F69" t="s">
        <v>10</v>
      </c>
      <c r="G69">
        <v>-289361.05</v>
      </c>
    </row>
    <row r="70" spans="1:7" x14ac:dyDescent="0.25">
      <c r="A70" t="s">
        <v>25</v>
      </c>
      <c r="B70" t="s">
        <v>26</v>
      </c>
      <c r="C70" t="s">
        <v>52</v>
      </c>
      <c r="D70">
        <v>0</v>
      </c>
      <c r="E70">
        <v>200077.21</v>
      </c>
      <c r="F70" t="s">
        <v>27</v>
      </c>
      <c r="G70">
        <v>-200077.21</v>
      </c>
    </row>
    <row r="71" spans="1:7" x14ac:dyDescent="0.25">
      <c r="A71" t="s">
        <v>28</v>
      </c>
      <c r="B71" t="s">
        <v>29</v>
      </c>
      <c r="C71" t="s">
        <v>52</v>
      </c>
      <c r="D71">
        <v>0</v>
      </c>
      <c r="E71">
        <v>124733.25</v>
      </c>
      <c r="F71" t="s">
        <v>27</v>
      </c>
      <c r="G71">
        <v>-124733.25</v>
      </c>
    </row>
    <row r="72" spans="1:7" x14ac:dyDescent="0.25">
      <c r="A72" t="s">
        <v>30</v>
      </c>
      <c r="B72" t="s">
        <v>31</v>
      </c>
      <c r="C72" t="s">
        <v>52</v>
      </c>
      <c r="D72">
        <v>116999.96</v>
      </c>
      <c r="E72">
        <v>0</v>
      </c>
      <c r="F72" t="s">
        <v>27</v>
      </c>
      <c r="G72">
        <v>116999.96</v>
      </c>
    </row>
    <row r="73" spans="1:7" x14ac:dyDescent="0.25">
      <c r="A73" t="s">
        <v>32</v>
      </c>
      <c r="B73" t="s">
        <v>33</v>
      </c>
      <c r="C73" t="s">
        <v>52</v>
      </c>
      <c r="D73">
        <v>102466.21</v>
      </c>
      <c r="E73">
        <v>0</v>
      </c>
      <c r="F73" t="s">
        <v>27</v>
      </c>
      <c r="G73">
        <v>102466.21</v>
      </c>
    </row>
    <row r="74" spans="1:7" x14ac:dyDescent="0.25">
      <c r="A74" t="s">
        <v>34</v>
      </c>
      <c r="B74" t="s">
        <v>35</v>
      </c>
      <c r="C74" t="s">
        <v>52</v>
      </c>
      <c r="D74">
        <v>124807.49</v>
      </c>
      <c r="E74">
        <v>0</v>
      </c>
      <c r="F74" t="s">
        <v>27</v>
      </c>
      <c r="G74">
        <v>124807.49</v>
      </c>
    </row>
    <row r="75" spans="1:7" x14ac:dyDescent="0.25">
      <c r="A75" t="s">
        <v>36</v>
      </c>
      <c r="B75" t="s">
        <v>37</v>
      </c>
      <c r="C75" t="s">
        <v>52</v>
      </c>
      <c r="D75">
        <v>152499.09</v>
      </c>
      <c r="E75">
        <v>0</v>
      </c>
      <c r="F75" t="s">
        <v>27</v>
      </c>
      <c r="G75">
        <v>152499.09</v>
      </c>
    </row>
    <row r="76" spans="1:7" x14ac:dyDescent="0.25">
      <c r="A76" t="s">
        <v>38</v>
      </c>
      <c r="B76" t="s">
        <v>39</v>
      </c>
      <c r="C76" t="s">
        <v>52</v>
      </c>
      <c r="D76">
        <v>140799.98000000001</v>
      </c>
      <c r="E76">
        <v>0</v>
      </c>
      <c r="F76" t="s">
        <v>27</v>
      </c>
      <c r="G76">
        <v>140799.98000000001</v>
      </c>
    </row>
    <row r="77" spans="1:7" x14ac:dyDescent="0.25">
      <c r="A77" t="s">
        <v>40</v>
      </c>
      <c r="B77" t="s">
        <v>41</v>
      </c>
      <c r="C77" t="s">
        <v>52</v>
      </c>
      <c r="D77">
        <v>45083.41</v>
      </c>
      <c r="E77">
        <v>0</v>
      </c>
      <c r="F77" t="s">
        <v>27</v>
      </c>
      <c r="G77">
        <v>45083.41</v>
      </c>
    </row>
    <row r="78" spans="1:7" x14ac:dyDescent="0.25">
      <c r="A78" t="s">
        <v>42</v>
      </c>
      <c r="B78" t="s">
        <v>43</v>
      </c>
      <c r="C78" t="s">
        <v>52</v>
      </c>
      <c r="D78">
        <v>10617.54</v>
      </c>
      <c r="E78">
        <v>0</v>
      </c>
      <c r="F78" t="s">
        <v>27</v>
      </c>
      <c r="G78">
        <v>10617.54</v>
      </c>
    </row>
    <row r="79" spans="1:7" x14ac:dyDescent="0.25">
      <c r="A79" t="s">
        <v>44</v>
      </c>
      <c r="B79" t="s">
        <v>45</v>
      </c>
      <c r="C79" t="s">
        <v>52</v>
      </c>
      <c r="D79">
        <v>60204.28</v>
      </c>
      <c r="E79">
        <v>0</v>
      </c>
      <c r="F79" t="s">
        <v>27</v>
      </c>
      <c r="G79">
        <v>60204.28</v>
      </c>
    </row>
    <row r="80" spans="1:7" x14ac:dyDescent="0.25">
      <c r="A80" t="s">
        <v>46</v>
      </c>
      <c r="B80" t="s">
        <v>47</v>
      </c>
      <c r="C80" t="s">
        <v>52</v>
      </c>
      <c r="D80">
        <v>51854.65</v>
      </c>
      <c r="E80">
        <v>0</v>
      </c>
      <c r="F80" t="s">
        <v>27</v>
      </c>
      <c r="G80">
        <v>51854.65</v>
      </c>
    </row>
    <row r="81" spans="1:7" x14ac:dyDescent="0.25">
      <c r="A81" t="s">
        <v>48</v>
      </c>
      <c r="B81" t="s">
        <v>49</v>
      </c>
      <c r="C81" t="s">
        <v>52</v>
      </c>
      <c r="D81">
        <v>41922</v>
      </c>
      <c r="E81">
        <v>0</v>
      </c>
      <c r="F81" t="s">
        <v>27</v>
      </c>
      <c r="G81">
        <v>41922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4B269-9EE0-4F9C-B6B8-B685AA088F37}">
  <sheetPr codeName="Feuil6"/>
  <dimension ref="A1:I36"/>
  <sheetViews>
    <sheetView topLeftCell="A25" workbookViewId="0">
      <selection activeCell="A2" sqref="A2"/>
    </sheetView>
  </sheetViews>
  <sheetFormatPr baseColWidth="10" defaultRowHeight="15" x14ac:dyDescent="0.25"/>
  <cols>
    <col min="1" max="1" width="12" bestFit="1" customWidth="1"/>
    <col min="2" max="2" width="10.42578125" bestFit="1" customWidth="1"/>
    <col min="4" max="4" width="22.7109375" bestFit="1" customWidth="1"/>
    <col min="5" max="5" width="10.42578125" bestFit="1" customWidth="1"/>
    <col min="6" max="6" width="14.42578125" bestFit="1" customWidth="1"/>
    <col min="7" max="7" width="8.7109375" bestFit="1" customWidth="1"/>
    <col min="8" max="8" width="17.140625" bestFit="1" customWidth="1"/>
    <col min="9" max="9" width="22.140625" bestFit="1" customWidth="1"/>
  </cols>
  <sheetData>
    <row r="1" spans="1:9" x14ac:dyDescent="0.25">
      <c r="A1" t="s">
        <v>53</v>
      </c>
      <c r="B1" t="s">
        <v>0</v>
      </c>
      <c r="C1" t="s">
        <v>2</v>
      </c>
      <c r="D1" t="s">
        <v>54</v>
      </c>
      <c r="E1" t="s">
        <v>55</v>
      </c>
      <c r="F1" t="s">
        <v>56</v>
      </c>
      <c r="G1" t="s">
        <v>57</v>
      </c>
      <c r="H1" t="s">
        <v>1</v>
      </c>
      <c r="I1" t="s">
        <v>207</v>
      </c>
    </row>
    <row r="2" spans="1:9" x14ac:dyDescent="0.25">
      <c r="A2" s="8" t="s">
        <v>66</v>
      </c>
      <c r="B2" s="8" t="s">
        <v>34</v>
      </c>
      <c r="C2" s="8" t="s">
        <v>9</v>
      </c>
      <c r="D2" s="8" t="s">
        <v>64</v>
      </c>
      <c r="E2">
        <v>22892</v>
      </c>
      <c r="F2" s="1">
        <v>46022</v>
      </c>
      <c r="G2" s="8" t="s">
        <v>60</v>
      </c>
      <c r="H2" s="8" t="s">
        <v>35</v>
      </c>
      <c r="I2" t="s">
        <v>100</v>
      </c>
    </row>
    <row r="3" spans="1:9" x14ac:dyDescent="0.25">
      <c r="A3" s="8" t="s">
        <v>70</v>
      </c>
      <c r="B3" s="8" t="s">
        <v>34</v>
      </c>
      <c r="C3" s="8" t="s">
        <v>9</v>
      </c>
      <c r="D3" s="8" t="s">
        <v>71</v>
      </c>
      <c r="E3">
        <v>31255.62</v>
      </c>
      <c r="F3" s="1">
        <v>46022</v>
      </c>
      <c r="G3" s="8" t="s">
        <v>60</v>
      </c>
      <c r="H3" s="8" t="s">
        <v>35</v>
      </c>
      <c r="I3" t="s">
        <v>100</v>
      </c>
    </row>
    <row r="4" spans="1:9" x14ac:dyDescent="0.25">
      <c r="A4" s="8" t="s">
        <v>94</v>
      </c>
      <c r="B4" s="8" t="s">
        <v>34</v>
      </c>
      <c r="C4" s="8" t="s">
        <v>9</v>
      </c>
      <c r="D4" s="8" t="s">
        <v>68</v>
      </c>
      <c r="E4">
        <v>15585.19</v>
      </c>
      <c r="F4" s="1">
        <v>46022</v>
      </c>
      <c r="G4" s="8" t="s">
        <v>60</v>
      </c>
      <c r="H4" s="8" t="s">
        <v>35</v>
      </c>
      <c r="I4" t="s">
        <v>100</v>
      </c>
    </row>
    <row r="5" spans="1:9" x14ac:dyDescent="0.25">
      <c r="A5" s="8" t="s">
        <v>98</v>
      </c>
      <c r="B5" s="8" t="s">
        <v>34</v>
      </c>
      <c r="C5" s="8" t="s">
        <v>9</v>
      </c>
      <c r="D5" s="8" t="s">
        <v>71</v>
      </c>
      <c r="E5">
        <v>34976.68</v>
      </c>
      <c r="F5" s="1">
        <v>46022</v>
      </c>
      <c r="G5" s="8" t="s">
        <v>60</v>
      </c>
      <c r="H5" s="8" t="s">
        <v>35</v>
      </c>
      <c r="I5" t="s">
        <v>100</v>
      </c>
    </row>
    <row r="6" spans="1:9" x14ac:dyDescent="0.25">
      <c r="A6" s="8" t="s">
        <v>99</v>
      </c>
      <c r="B6" s="8" t="s">
        <v>34</v>
      </c>
      <c r="C6" s="8" t="s">
        <v>9</v>
      </c>
      <c r="D6" s="8" t="s">
        <v>64</v>
      </c>
      <c r="E6">
        <v>7905.11</v>
      </c>
      <c r="F6" s="1">
        <v>46022</v>
      </c>
      <c r="G6" s="8" t="s">
        <v>60</v>
      </c>
      <c r="H6" s="8" t="s">
        <v>35</v>
      </c>
      <c r="I6" t="s">
        <v>100</v>
      </c>
    </row>
    <row r="7" spans="1:9" x14ac:dyDescent="0.25">
      <c r="A7" s="8" t="s">
        <v>73</v>
      </c>
      <c r="B7" s="8" t="s">
        <v>40</v>
      </c>
      <c r="C7" s="8" t="s">
        <v>50</v>
      </c>
      <c r="D7" s="8" t="s">
        <v>68</v>
      </c>
      <c r="E7">
        <v>33499.019999999997</v>
      </c>
      <c r="F7" s="1">
        <v>46022</v>
      </c>
      <c r="G7" s="8" t="s">
        <v>60</v>
      </c>
      <c r="H7" s="8" t="s">
        <v>41</v>
      </c>
      <c r="I7" t="s">
        <v>100</v>
      </c>
    </row>
    <row r="8" spans="1:9" x14ac:dyDescent="0.25">
      <c r="A8" s="8" t="s">
        <v>82</v>
      </c>
      <c r="B8" s="8" t="s">
        <v>40</v>
      </c>
      <c r="C8" s="8" t="s">
        <v>50</v>
      </c>
      <c r="D8" s="8" t="s">
        <v>81</v>
      </c>
      <c r="E8">
        <v>7866.63</v>
      </c>
      <c r="F8" s="1">
        <v>46022</v>
      </c>
      <c r="G8" s="8" t="s">
        <v>60</v>
      </c>
      <c r="H8" s="8" t="s">
        <v>41</v>
      </c>
      <c r="I8" t="s">
        <v>100</v>
      </c>
    </row>
    <row r="9" spans="1:9" x14ac:dyDescent="0.25">
      <c r="A9" s="8" t="s">
        <v>75</v>
      </c>
      <c r="B9" s="8" t="s">
        <v>38</v>
      </c>
      <c r="C9" s="8" t="s">
        <v>9</v>
      </c>
      <c r="D9" s="8" t="s">
        <v>71</v>
      </c>
      <c r="E9">
        <v>18999.04</v>
      </c>
      <c r="F9" s="1">
        <v>46022</v>
      </c>
      <c r="G9" s="8" t="s">
        <v>60</v>
      </c>
      <c r="H9" s="8" t="s">
        <v>39</v>
      </c>
      <c r="I9" t="s">
        <v>100</v>
      </c>
    </row>
    <row r="10" spans="1:9" x14ac:dyDescent="0.25">
      <c r="A10" s="8" t="s">
        <v>78</v>
      </c>
      <c r="B10" s="8" t="s">
        <v>38</v>
      </c>
      <c r="C10" s="8" t="s">
        <v>9</v>
      </c>
      <c r="D10" s="8" t="s">
        <v>59</v>
      </c>
      <c r="E10">
        <v>10282.200000000001</v>
      </c>
      <c r="F10" s="1">
        <v>46022</v>
      </c>
      <c r="G10" s="8" t="s">
        <v>60</v>
      </c>
      <c r="H10" s="8" t="s">
        <v>39</v>
      </c>
      <c r="I10" t="s">
        <v>100</v>
      </c>
    </row>
    <row r="11" spans="1:9" x14ac:dyDescent="0.25">
      <c r="A11" s="8" t="s">
        <v>76</v>
      </c>
      <c r="B11" s="8" t="s">
        <v>36</v>
      </c>
      <c r="C11" s="8" t="s">
        <v>50</v>
      </c>
      <c r="D11" s="8" t="s">
        <v>59</v>
      </c>
      <c r="E11">
        <v>27281.599999999999</v>
      </c>
      <c r="F11" s="1">
        <v>46022</v>
      </c>
      <c r="G11" s="8" t="s">
        <v>60</v>
      </c>
      <c r="H11" s="8" t="s">
        <v>37</v>
      </c>
      <c r="I11" t="s">
        <v>100</v>
      </c>
    </row>
    <row r="12" spans="1:9" x14ac:dyDescent="0.25">
      <c r="A12" s="8" t="s">
        <v>86</v>
      </c>
      <c r="B12" s="8" t="s">
        <v>36</v>
      </c>
      <c r="C12" s="8" t="s">
        <v>50</v>
      </c>
      <c r="D12" s="8" t="s">
        <v>68</v>
      </c>
      <c r="E12">
        <v>13487.78</v>
      </c>
      <c r="F12" s="1">
        <v>46022</v>
      </c>
      <c r="G12" s="8" t="s">
        <v>60</v>
      </c>
      <c r="H12" s="8" t="s">
        <v>37</v>
      </c>
      <c r="I12" t="s">
        <v>100</v>
      </c>
    </row>
    <row r="13" spans="1:9" x14ac:dyDescent="0.25">
      <c r="A13" s="8" t="s">
        <v>77</v>
      </c>
      <c r="B13" s="8" t="s">
        <v>46</v>
      </c>
      <c r="C13" s="8" t="s">
        <v>9</v>
      </c>
      <c r="D13" s="8" t="s">
        <v>59</v>
      </c>
      <c r="E13">
        <v>18379.689999999999</v>
      </c>
      <c r="F13" s="1">
        <v>46022</v>
      </c>
      <c r="G13" s="8" t="s">
        <v>60</v>
      </c>
      <c r="H13" s="8" t="s">
        <v>47</v>
      </c>
      <c r="I13" t="s">
        <v>100</v>
      </c>
    </row>
    <row r="14" spans="1:9" x14ac:dyDescent="0.25">
      <c r="A14" s="8" t="s">
        <v>88</v>
      </c>
      <c r="B14" s="8" t="s">
        <v>36</v>
      </c>
      <c r="C14" s="8" t="s">
        <v>9</v>
      </c>
      <c r="D14" s="8" t="s">
        <v>68</v>
      </c>
      <c r="E14">
        <v>31926.15</v>
      </c>
      <c r="F14" s="1">
        <v>46022</v>
      </c>
      <c r="G14" s="8" t="s">
        <v>60</v>
      </c>
      <c r="H14" s="8" t="s">
        <v>37</v>
      </c>
      <c r="I14" t="s">
        <v>100</v>
      </c>
    </row>
    <row r="15" spans="1:9" x14ac:dyDescent="0.25">
      <c r="A15" s="8" t="s">
        <v>84</v>
      </c>
      <c r="B15" s="8" t="s">
        <v>38</v>
      </c>
      <c r="C15" s="8" t="s">
        <v>50</v>
      </c>
      <c r="D15" s="8" t="s">
        <v>62</v>
      </c>
      <c r="E15">
        <v>34842.35</v>
      </c>
      <c r="F15" s="1">
        <v>46022</v>
      </c>
      <c r="G15" s="8" t="s">
        <v>60</v>
      </c>
      <c r="H15" s="8" t="s">
        <v>39</v>
      </c>
      <c r="I15" t="s">
        <v>100</v>
      </c>
    </row>
    <row r="16" spans="1:9" x14ac:dyDescent="0.25">
      <c r="A16" s="8" t="s">
        <v>92</v>
      </c>
      <c r="B16" s="8" t="s">
        <v>34</v>
      </c>
      <c r="C16" s="8" t="s">
        <v>50</v>
      </c>
      <c r="D16" s="8" t="s">
        <v>68</v>
      </c>
      <c r="E16">
        <v>23916.94</v>
      </c>
      <c r="F16" s="1">
        <v>46022</v>
      </c>
      <c r="G16" s="8" t="s">
        <v>60</v>
      </c>
      <c r="H16" s="8" t="s">
        <v>35</v>
      </c>
      <c r="I16" t="s">
        <v>100</v>
      </c>
    </row>
    <row r="17" spans="1:9" x14ac:dyDescent="0.25">
      <c r="A17" s="8" t="s">
        <v>65</v>
      </c>
      <c r="B17" s="8" t="s">
        <v>46</v>
      </c>
      <c r="C17" s="8" t="s">
        <v>50</v>
      </c>
      <c r="D17" s="8" t="s">
        <v>62</v>
      </c>
      <c r="E17">
        <v>5454.56</v>
      </c>
      <c r="F17" s="1">
        <v>46022</v>
      </c>
      <c r="G17" s="8" t="s">
        <v>60</v>
      </c>
      <c r="H17" s="8" t="s">
        <v>47</v>
      </c>
      <c r="I17" t="s">
        <v>100</v>
      </c>
    </row>
    <row r="18" spans="1:9" x14ac:dyDescent="0.25">
      <c r="A18" s="8" t="s">
        <v>79</v>
      </c>
      <c r="B18" s="8" t="s">
        <v>46</v>
      </c>
      <c r="C18" s="8" t="s">
        <v>50</v>
      </c>
      <c r="D18" s="8" t="s">
        <v>68</v>
      </c>
      <c r="E18">
        <v>5283.74</v>
      </c>
      <c r="F18" s="1">
        <v>46022</v>
      </c>
      <c r="G18" s="8" t="s">
        <v>60</v>
      </c>
      <c r="H18" s="8" t="s">
        <v>47</v>
      </c>
      <c r="I18" t="s">
        <v>100</v>
      </c>
    </row>
    <row r="19" spans="1:9" x14ac:dyDescent="0.25">
      <c r="A19" s="8" t="s">
        <v>87</v>
      </c>
      <c r="B19" s="8" t="s">
        <v>46</v>
      </c>
      <c r="C19" s="8" t="s">
        <v>50</v>
      </c>
      <c r="D19" s="8" t="s">
        <v>64</v>
      </c>
      <c r="E19">
        <v>2733.7</v>
      </c>
      <c r="F19" s="1">
        <v>46022</v>
      </c>
      <c r="G19" s="8" t="s">
        <v>60</v>
      </c>
      <c r="H19" s="8" t="s">
        <v>47</v>
      </c>
      <c r="I19" t="s">
        <v>100</v>
      </c>
    </row>
    <row r="20" spans="1:9" x14ac:dyDescent="0.25">
      <c r="A20" s="8" t="s">
        <v>89</v>
      </c>
      <c r="B20" s="8" t="s">
        <v>34</v>
      </c>
      <c r="C20" s="8" t="s">
        <v>51</v>
      </c>
      <c r="D20" s="8" t="s">
        <v>81</v>
      </c>
      <c r="E20">
        <v>10235.15</v>
      </c>
      <c r="F20" s="1">
        <v>46022</v>
      </c>
      <c r="G20" s="8" t="s">
        <v>60</v>
      </c>
      <c r="H20" s="8" t="s">
        <v>35</v>
      </c>
      <c r="I20" t="s">
        <v>100</v>
      </c>
    </row>
    <row r="21" spans="1:9" x14ac:dyDescent="0.25">
      <c r="A21" s="8" t="s">
        <v>95</v>
      </c>
      <c r="B21" s="8" t="s">
        <v>34</v>
      </c>
      <c r="C21" s="8" t="s">
        <v>51</v>
      </c>
      <c r="D21" s="8" t="s">
        <v>64</v>
      </c>
      <c r="E21">
        <v>8726.68</v>
      </c>
      <c r="F21" s="1">
        <v>46022</v>
      </c>
      <c r="G21" s="8" t="s">
        <v>60</v>
      </c>
      <c r="H21" s="8" t="s">
        <v>35</v>
      </c>
      <c r="I21" t="s">
        <v>100</v>
      </c>
    </row>
    <row r="22" spans="1:9" x14ac:dyDescent="0.25">
      <c r="A22" s="8" t="s">
        <v>72</v>
      </c>
      <c r="B22" s="8" t="s">
        <v>38</v>
      </c>
      <c r="C22" s="8" t="s">
        <v>51</v>
      </c>
      <c r="D22" s="8" t="s">
        <v>68</v>
      </c>
      <c r="E22">
        <v>12038.75</v>
      </c>
      <c r="F22" s="1">
        <v>46022</v>
      </c>
      <c r="G22" s="8" t="s">
        <v>60</v>
      </c>
      <c r="H22" s="8" t="s">
        <v>39</v>
      </c>
      <c r="I22" t="s">
        <v>100</v>
      </c>
    </row>
    <row r="23" spans="1:9" x14ac:dyDescent="0.25">
      <c r="A23" s="8" t="s">
        <v>85</v>
      </c>
      <c r="B23" s="8" t="s">
        <v>40</v>
      </c>
      <c r="C23" s="8" t="s">
        <v>51</v>
      </c>
      <c r="D23" s="8" t="s">
        <v>81</v>
      </c>
      <c r="E23">
        <v>17173.3</v>
      </c>
      <c r="F23" s="1">
        <v>46022</v>
      </c>
      <c r="G23" s="8" t="s">
        <v>60</v>
      </c>
      <c r="H23" s="8" t="s">
        <v>41</v>
      </c>
      <c r="I23" t="s">
        <v>100</v>
      </c>
    </row>
    <row r="24" spans="1:9" x14ac:dyDescent="0.25">
      <c r="A24" s="8" t="s">
        <v>93</v>
      </c>
      <c r="B24" s="8" t="s">
        <v>40</v>
      </c>
      <c r="C24" s="8" t="s">
        <v>51</v>
      </c>
      <c r="D24" s="8" t="s">
        <v>62</v>
      </c>
      <c r="E24">
        <v>17678.3</v>
      </c>
      <c r="F24" s="1">
        <v>46022</v>
      </c>
      <c r="G24" s="8" t="s">
        <v>60</v>
      </c>
      <c r="H24" s="8" t="s">
        <v>41</v>
      </c>
      <c r="I24" t="s">
        <v>100</v>
      </c>
    </row>
    <row r="25" spans="1:9" x14ac:dyDescent="0.25">
      <c r="A25" s="8" t="s">
        <v>61</v>
      </c>
      <c r="B25" s="8" t="s">
        <v>46</v>
      </c>
      <c r="C25" s="8" t="s">
        <v>51</v>
      </c>
      <c r="D25" s="8" t="s">
        <v>62</v>
      </c>
      <c r="E25">
        <v>31679.24</v>
      </c>
      <c r="F25" s="1">
        <v>46022</v>
      </c>
      <c r="G25" s="8" t="s">
        <v>60</v>
      </c>
      <c r="H25" s="8" t="s">
        <v>47</v>
      </c>
      <c r="I25" t="s">
        <v>100</v>
      </c>
    </row>
    <row r="26" spans="1:9" x14ac:dyDescent="0.25">
      <c r="A26" s="8" t="s">
        <v>74</v>
      </c>
      <c r="B26" s="8" t="s">
        <v>46</v>
      </c>
      <c r="C26" s="8" t="s">
        <v>51</v>
      </c>
      <c r="D26" s="8" t="s">
        <v>64</v>
      </c>
      <c r="E26">
        <v>18999.650000000001</v>
      </c>
      <c r="F26" s="1">
        <v>46022</v>
      </c>
      <c r="G26" s="8" t="s">
        <v>60</v>
      </c>
      <c r="H26" s="8" t="s">
        <v>47</v>
      </c>
      <c r="I26" t="s">
        <v>100</v>
      </c>
    </row>
    <row r="27" spans="1:9" x14ac:dyDescent="0.25">
      <c r="A27" s="8" t="s">
        <v>80</v>
      </c>
      <c r="B27" s="8" t="s">
        <v>34</v>
      </c>
      <c r="C27" s="8" t="s">
        <v>52</v>
      </c>
      <c r="D27" s="8" t="s">
        <v>81</v>
      </c>
      <c r="E27">
        <v>27389.62</v>
      </c>
      <c r="F27" s="1">
        <v>46022</v>
      </c>
      <c r="G27" s="8" t="s">
        <v>60</v>
      </c>
      <c r="H27" s="8" t="s">
        <v>35</v>
      </c>
      <c r="I27" t="s">
        <v>100</v>
      </c>
    </row>
    <row r="28" spans="1:9" x14ac:dyDescent="0.25">
      <c r="A28" s="8" t="s">
        <v>58</v>
      </c>
      <c r="B28" s="8" t="s">
        <v>36</v>
      </c>
      <c r="C28" s="8" t="s">
        <v>52</v>
      </c>
      <c r="D28" s="8" t="s">
        <v>59</v>
      </c>
      <c r="E28">
        <v>7037.99</v>
      </c>
      <c r="F28" s="1">
        <v>46022</v>
      </c>
      <c r="G28" s="8" t="s">
        <v>60</v>
      </c>
      <c r="H28" s="8" t="s">
        <v>37</v>
      </c>
      <c r="I28" t="s">
        <v>100</v>
      </c>
    </row>
    <row r="29" spans="1:9" x14ac:dyDescent="0.25">
      <c r="A29" s="8" t="s">
        <v>83</v>
      </c>
      <c r="B29" s="8" t="s">
        <v>36</v>
      </c>
      <c r="C29" s="8" t="s">
        <v>52</v>
      </c>
      <c r="D29" s="8" t="s">
        <v>81</v>
      </c>
      <c r="E29">
        <v>27046.12</v>
      </c>
      <c r="F29" s="1">
        <v>46022</v>
      </c>
      <c r="G29" s="8" t="s">
        <v>60</v>
      </c>
      <c r="H29" s="8" t="s">
        <v>37</v>
      </c>
      <c r="I29" t="s">
        <v>100</v>
      </c>
    </row>
    <row r="30" spans="1:9" x14ac:dyDescent="0.25">
      <c r="A30" s="8" t="s">
        <v>90</v>
      </c>
      <c r="B30" s="8" t="s">
        <v>36</v>
      </c>
      <c r="C30" s="8" t="s">
        <v>52</v>
      </c>
      <c r="D30" s="8" t="s">
        <v>81</v>
      </c>
      <c r="E30">
        <v>6800.14</v>
      </c>
      <c r="F30" s="1">
        <v>46022</v>
      </c>
      <c r="G30" s="8" t="s">
        <v>60</v>
      </c>
      <c r="H30" s="8" t="s">
        <v>37</v>
      </c>
      <c r="I30" t="s">
        <v>100</v>
      </c>
    </row>
    <row r="31" spans="1:9" x14ac:dyDescent="0.25">
      <c r="A31" s="8" t="s">
        <v>91</v>
      </c>
      <c r="B31" s="8" t="s">
        <v>36</v>
      </c>
      <c r="C31" s="8" t="s">
        <v>52</v>
      </c>
      <c r="D31" s="8" t="s">
        <v>62</v>
      </c>
      <c r="E31">
        <v>28743.65</v>
      </c>
      <c r="F31" s="1">
        <v>46022</v>
      </c>
      <c r="G31" s="8" t="s">
        <v>60</v>
      </c>
      <c r="H31" s="8" t="s">
        <v>37</v>
      </c>
      <c r="I31" t="s">
        <v>100</v>
      </c>
    </row>
    <row r="32" spans="1:9" x14ac:dyDescent="0.25">
      <c r="A32" s="8" t="s">
        <v>96</v>
      </c>
      <c r="B32" s="8" t="s">
        <v>36</v>
      </c>
      <c r="C32" s="8" t="s">
        <v>52</v>
      </c>
      <c r="D32" s="8" t="s">
        <v>62</v>
      </c>
      <c r="E32">
        <v>8463.36</v>
      </c>
      <c r="F32" s="1">
        <v>46022</v>
      </c>
      <c r="G32" s="8" t="s">
        <v>60</v>
      </c>
      <c r="H32" s="8" t="s">
        <v>37</v>
      </c>
      <c r="I32" t="s">
        <v>100</v>
      </c>
    </row>
    <row r="33" spans="1:9" x14ac:dyDescent="0.25">
      <c r="A33" s="8" t="s">
        <v>97</v>
      </c>
      <c r="B33" s="8" t="s">
        <v>36</v>
      </c>
      <c r="C33" s="8" t="s">
        <v>52</v>
      </c>
      <c r="D33" s="8" t="s">
        <v>68</v>
      </c>
      <c r="E33">
        <v>16901.75</v>
      </c>
      <c r="F33" s="1">
        <v>46022</v>
      </c>
      <c r="G33" s="8" t="s">
        <v>60</v>
      </c>
      <c r="H33" s="8" t="s">
        <v>37</v>
      </c>
      <c r="I33" t="s">
        <v>100</v>
      </c>
    </row>
    <row r="34" spans="1:9" x14ac:dyDescent="0.25">
      <c r="A34" s="8" t="s">
        <v>63</v>
      </c>
      <c r="B34" s="8" t="s">
        <v>38</v>
      </c>
      <c r="C34" s="8" t="s">
        <v>52</v>
      </c>
      <c r="D34" s="8" t="s">
        <v>64</v>
      </c>
      <c r="E34">
        <v>34913.089999999997</v>
      </c>
      <c r="F34" s="1">
        <v>46022</v>
      </c>
      <c r="G34" s="8" t="s">
        <v>60</v>
      </c>
      <c r="H34" s="8" t="s">
        <v>39</v>
      </c>
      <c r="I34" t="s">
        <v>100</v>
      </c>
    </row>
    <row r="35" spans="1:9" x14ac:dyDescent="0.25">
      <c r="A35" s="8" t="s">
        <v>67</v>
      </c>
      <c r="B35" s="8" t="s">
        <v>46</v>
      </c>
      <c r="C35" s="8" t="s">
        <v>52</v>
      </c>
      <c r="D35" s="8" t="s">
        <v>68</v>
      </c>
      <c r="E35">
        <v>15004.94</v>
      </c>
      <c r="F35" s="1">
        <v>46022</v>
      </c>
      <c r="G35" s="8" t="s">
        <v>60</v>
      </c>
      <c r="H35" s="8" t="s">
        <v>47</v>
      </c>
      <c r="I35" t="s">
        <v>100</v>
      </c>
    </row>
    <row r="36" spans="1:9" x14ac:dyDescent="0.25">
      <c r="A36" s="8" t="s">
        <v>69</v>
      </c>
      <c r="B36" s="8" t="s">
        <v>46</v>
      </c>
      <c r="C36" s="8" t="s">
        <v>52</v>
      </c>
      <c r="D36" s="8" t="s">
        <v>59</v>
      </c>
      <c r="E36">
        <v>34060.050000000003</v>
      </c>
      <c r="F36" s="1">
        <v>46022</v>
      </c>
      <c r="G36" s="8" t="s">
        <v>60</v>
      </c>
      <c r="H36" s="8" t="s">
        <v>47</v>
      </c>
      <c r="I36" t="s">
        <v>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35E4-CC13-4065-9C26-3345EB1A5705}">
  <sheetPr codeName="Feuil7"/>
  <dimension ref="A1:M21"/>
  <sheetViews>
    <sheetView topLeftCell="A4" workbookViewId="0">
      <selection activeCell="A2" sqref="A2:A22"/>
    </sheetView>
  </sheetViews>
  <sheetFormatPr baseColWidth="10" defaultRowHeight="15" x14ac:dyDescent="0.25"/>
  <cols>
    <col min="1" max="1" width="16.42578125" bestFit="1" customWidth="1"/>
    <col min="2" max="2" width="23.5703125" bestFit="1" customWidth="1"/>
    <col min="3" max="3" width="18.42578125" bestFit="1" customWidth="1"/>
    <col min="5" max="5" width="27.28515625" bestFit="1" customWidth="1"/>
    <col min="6" max="6" width="10.42578125" bestFit="1" customWidth="1"/>
    <col min="7" max="7" width="14.42578125" bestFit="1" customWidth="1"/>
    <col min="8" max="8" width="8.7109375" bestFit="1" customWidth="1"/>
    <col min="9" max="9" width="16.140625" bestFit="1" customWidth="1"/>
    <col min="10" max="10" width="17.7109375" bestFit="1" customWidth="1"/>
    <col min="11" max="11" width="27.28515625" bestFit="1" customWidth="1"/>
    <col min="12" max="12" width="32.7109375" bestFit="1" customWidth="1"/>
    <col min="13" max="13" width="25" bestFit="1" customWidth="1"/>
  </cols>
  <sheetData>
    <row r="1" spans="1:13" x14ac:dyDescent="0.25">
      <c r="A1" t="s">
        <v>101</v>
      </c>
      <c r="B1" t="s">
        <v>102</v>
      </c>
      <c r="C1" t="s">
        <v>103</v>
      </c>
      <c r="D1" t="s">
        <v>2</v>
      </c>
      <c r="E1" t="s">
        <v>54</v>
      </c>
      <c r="F1" t="s">
        <v>55</v>
      </c>
      <c r="G1" t="s">
        <v>56</v>
      </c>
      <c r="H1" t="s">
        <v>57</v>
      </c>
      <c r="I1" t="s">
        <v>1</v>
      </c>
      <c r="J1" t="s">
        <v>208</v>
      </c>
      <c r="K1" t="s">
        <v>104</v>
      </c>
      <c r="L1" t="s">
        <v>105</v>
      </c>
      <c r="M1" t="s">
        <v>106</v>
      </c>
    </row>
    <row r="2" spans="1:13" x14ac:dyDescent="0.25">
      <c r="A2" s="8" t="s">
        <v>110</v>
      </c>
      <c r="B2" s="8" t="s">
        <v>15</v>
      </c>
      <c r="C2" s="8" t="s">
        <v>40</v>
      </c>
      <c r="D2" s="8" t="s">
        <v>9</v>
      </c>
      <c r="E2" s="8" t="s">
        <v>111</v>
      </c>
      <c r="F2">
        <v>8200.49</v>
      </c>
      <c r="G2" s="1">
        <v>46022</v>
      </c>
      <c r="H2" s="8" t="s">
        <v>60</v>
      </c>
      <c r="I2" s="8" t="s">
        <v>16</v>
      </c>
      <c r="J2" s="8" t="s">
        <v>41</v>
      </c>
      <c r="K2" t="s">
        <v>100</v>
      </c>
      <c r="L2" t="s">
        <v>100</v>
      </c>
      <c r="M2" t="s">
        <v>109</v>
      </c>
    </row>
    <row r="3" spans="1:13" x14ac:dyDescent="0.25">
      <c r="A3" s="8" t="s">
        <v>114</v>
      </c>
      <c r="B3" s="8" t="s">
        <v>15</v>
      </c>
      <c r="C3" s="8" t="s">
        <v>42</v>
      </c>
      <c r="D3" s="8" t="s">
        <v>9</v>
      </c>
      <c r="E3" s="8" t="s">
        <v>115</v>
      </c>
      <c r="F3">
        <v>6958.49</v>
      </c>
      <c r="G3" s="1">
        <v>46022</v>
      </c>
      <c r="H3" s="8" t="s">
        <v>60</v>
      </c>
      <c r="I3" s="8" t="s">
        <v>16</v>
      </c>
      <c r="J3" s="8" t="s">
        <v>43</v>
      </c>
      <c r="K3" t="s">
        <v>100</v>
      </c>
      <c r="L3" t="s">
        <v>100</v>
      </c>
      <c r="M3" t="s">
        <v>109</v>
      </c>
    </row>
    <row r="4" spans="1:13" x14ac:dyDescent="0.25">
      <c r="A4" s="8" t="s">
        <v>118</v>
      </c>
      <c r="B4" s="8" t="s">
        <v>15</v>
      </c>
      <c r="C4" s="8" t="s">
        <v>42</v>
      </c>
      <c r="D4" s="8" t="s">
        <v>9</v>
      </c>
      <c r="E4" s="8" t="s">
        <v>108</v>
      </c>
      <c r="F4">
        <v>12802.03</v>
      </c>
      <c r="G4" s="1">
        <v>46022</v>
      </c>
      <c r="H4" s="8" t="s">
        <v>60</v>
      </c>
      <c r="I4" s="8" t="s">
        <v>16</v>
      </c>
      <c r="J4" s="8" t="s">
        <v>43</v>
      </c>
      <c r="K4" t="s">
        <v>100</v>
      </c>
      <c r="L4" t="s">
        <v>100</v>
      </c>
      <c r="M4" t="s">
        <v>109</v>
      </c>
    </row>
    <row r="5" spans="1:13" x14ac:dyDescent="0.25">
      <c r="A5" s="8" t="s">
        <v>119</v>
      </c>
      <c r="B5" s="8" t="s">
        <v>15</v>
      </c>
      <c r="C5" s="8" t="s">
        <v>42</v>
      </c>
      <c r="D5" s="8" t="s">
        <v>9</v>
      </c>
      <c r="E5" s="8" t="s">
        <v>111</v>
      </c>
      <c r="F5">
        <v>6024.85</v>
      </c>
      <c r="G5" s="1">
        <v>46022</v>
      </c>
      <c r="H5" s="8" t="s">
        <v>60</v>
      </c>
      <c r="I5" s="8" t="s">
        <v>16</v>
      </c>
      <c r="J5" s="8" t="s">
        <v>43</v>
      </c>
      <c r="K5" t="s">
        <v>100</v>
      </c>
      <c r="L5" t="s">
        <v>100</v>
      </c>
      <c r="M5" t="s">
        <v>109</v>
      </c>
    </row>
    <row r="6" spans="1:13" x14ac:dyDescent="0.25">
      <c r="A6" s="8" t="s">
        <v>122</v>
      </c>
      <c r="B6" s="8" t="s">
        <v>15</v>
      </c>
      <c r="C6" s="8" t="s">
        <v>44</v>
      </c>
      <c r="D6" s="8" t="s">
        <v>9</v>
      </c>
      <c r="E6" s="8" t="s">
        <v>121</v>
      </c>
      <c r="F6">
        <v>2522.12</v>
      </c>
      <c r="G6" s="1">
        <v>46022</v>
      </c>
      <c r="H6" s="8" t="s">
        <v>60</v>
      </c>
      <c r="I6" s="8" t="s">
        <v>16</v>
      </c>
      <c r="J6" s="8" t="s">
        <v>45</v>
      </c>
      <c r="K6" t="s">
        <v>100</v>
      </c>
      <c r="L6" t="s">
        <v>100</v>
      </c>
      <c r="M6" t="s">
        <v>109</v>
      </c>
    </row>
    <row r="7" spans="1:13" x14ac:dyDescent="0.25">
      <c r="A7" s="8" t="s">
        <v>123</v>
      </c>
      <c r="B7" s="8" t="s">
        <v>15</v>
      </c>
      <c r="C7" s="8" t="s">
        <v>44</v>
      </c>
      <c r="D7" s="8" t="s">
        <v>9</v>
      </c>
      <c r="E7" s="8" t="s">
        <v>121</v>
      </c>
      <c r="F7">
        <v>2291.2600000000002</v>
      </c>
      <c r="G7" s="1">
        <v>46022</v>
      </c>
      <c r="H7" s="8" t="s">
        <v>60</v>
      </c>
      <c r="I7" s="8" t="s">
        <v>16</v>
      </c>
      <c r="J7" s="8" t="s">
        <v>45</v>
      </c>
      <c r="K7" t="s">
        <v>100</v>
      </c>
      <c r="L7" t="s">
        <v>100</v>
      </c>
      <c r="M7" t="s">
        <v>109</v>
      </c>
    </row>
    <row r="8" spans="1:13" x14ac:dyDescent="0.25">
      <c r="A8" s="8" t="s">
        <v>128</v>
      </c>
      <c r="B8" s="8" t="s">
        <v>15</v>
      </c>
      <c r="C8" s="8" t="s">
        <v>38</v>
      </c>
      <c r="D8" s="8" t="s">
        <v>9</v>
      </c>
      <c r="E8" s="8" t="s">
        <v>121</v>
      </c>
      <c r="F8">
        <v>2557.6799999999998</v>
      </c>
      <c r="G8" s="1">
        <v>46022</v>
      </c>
      <c r="H8" s="8" t="s">
        <v>60</v>
      </c>
      <c r="I8" s="8" t="s">
        <v>16</v>
      </c>
      <c r="J8" s="8" t="s">
        <v>39</v>
      </c>
      <c r="K8" t="s">
        <v>100</v>
      </c>
      <c r="L8" t="s">
        <v>100</v>
      </c>
      <c r="M8" t="s">
        <v>109</v>
      </c>
    </row>
    <row r="9" spans="1:13" x14ac:dyDescent="0.25">
      <c r="A9" s="8" t="s">
        <v>131</v>
      </c>
      <c r="B9" s="8" t="s">
        <v>15</v>
      </c>
      <c r="C9" s="8" t="s">
        <v>38</v>
      </c>
      <c r="D9" s="8" t="s">
        <v>9</v>
      </c>
      <c r="E9" s="8" t="s">
        <v>121</v>
      </c>
      <c r="F9">
        <v>5049.93</v>
      </c>
      <c r="G9" s="1">
        <v>46022</v>
      </c>
      <c r="H9" s="8" t="s">
        <v>60</v>
      </c>
      <c r="I9" s="8" t="s">
        <v>16</v>
      </c>
      <c r="J9" s="8" t="s">
        <v>39</v>
      </c>
      <c r="K9" t="s">
        <v>100</v>
      </c>
      <c r="L9" t="s">
        <v>100</v>
      </c>
      <c r="M9" t="s">
        <v>109</v>
      </c>
    </row>
    <row r="10" spans="1:13" x14ac:dyDescent="0.25">
      <c r="A10" s="8" t="s">
        <v>133</v>
      </c>
      <c r="B10" s="8" t="s">
        <v>15</v>
      </c>
      <c r="C10" s="8" t="s">
        <v>38</v>
      </c>
      <c r="D10" s="8" t="s">
        <v>9</v>
      </c>
      <c r="E10" s="8" t="s">
        <v>115</v>
      </c>
      <c r="F10">
        <v>16524.98</v>
      </c>
      <c r="G10" s="1">
        <v>46022</v>
      </c>
      <c r="H10" s="8" t="s">
        <v>60</v>
      </c>
      <c r="I10" s="8" t="s">
        <v>16</v>
      </c>
      <c r="J10" s="8" t="s">
        <v>39</v>
      </c>
      <c r="K10" t="s">
        <v>100</v>
      </c>
      <c r="L10" t="s">
        <v>100</v>
      </c>
      <c r="M10" t="s">
        <v>109</v>
      </c>
    </row>
    <row r="11" spans="1:13" x14ac:dyDescent="0.25">
      <c r="A11" s="8" t="s">
        <v>130</v>
      </c>
      <c r="B11" s="8" t="s">
        <v>15</v>
      </c>
      <c r="C11" s="8" t="s">
        <v>38</v>
      </c>
      <c r="D11" s="8" t="s">
        <v>50</v>
      </c>
      <c r="E11" s="8" t="s">
        <v>117</v>
      </c>
      <c r="F11">
        <v>8519.93</v>
      </c>
      <c r="G11" s="1">
        <v>46022</v>
      </c>
      <c r="H11" s="8" t="s">
        <v>60</v>
      </c>
      <c r="I11" s="8" t="s">
        <v>16</v>
      </c>
      <c r="J11" s="8" t="s">
        <v>39</v>
      </c>
      <c r="K11" t="s">
        <v>100</v>
      </c>
      <c r="L11" t="s">
        <v>100</v>
      </c>
      <c r="M11" t="s">
        <v>109</v>
      </c>
    </row>
    <row r="12" spans="1:13" x14ac:dyDescent="0.25">
      <c r="A12" s="8" t="s">
        <v>113</v>
      </c>
      <c r="B12" s="8" t="s">
        <v>15</v>
      </c>
      <c r="C12" s="8" t="s">
        <v>42</v>
      </c>
      <c r="D12" s="8" t="s">
        <v>50</v>
      </c>
      <c r="E12" s="8" t="s">
        <v>111</v>
      </c>
      <c r="F12">
        <v>6637.45</v>
      </c>
      <c r="G12" s="1">
        <v>46022</v>
      </c>
      <c r="H12" s="8" t="s">
        <v>60</v>
      </c>
      <c r="I12" s="8" t="s">
        <v>16</v>
      </c>
      <c r="J12" s="8" t="s">
        <v>43</v>
      </c>
      <c r="K12" t="s">
        <v>100</v>
      </c>
      <c r="L12" t="s">
        <v>100</v>
      </c>
      <c r="M12" t="s">
        <v>109</v>
      </c>
    </row>
    <row r="13" spans="1:13" x14ac:dyDescent="0.25">
      <c r="A13" s="8" t="s">
        <v>126</v>
      </c>
      <c r="B13" s="8" t="s">
        <v>15</v>
      </c>
      <c r="C13" s="8" t="s">
        <v>44</v>
      </c>
      <c r="D13" s="8" t="s">
        <v>50</v>
      </c>
      <c r="E13" s="8" t="s">
        <v>117</v>
      </c>
      <c r="F13">
        <v>17736.419999999998</v>
      </c>
      <c r="G13" s="1">
        <v>46022</v>
      </c>
      <c r="H13" s="8" t="s">
        <v>60</v>
      </c>
      <c r="I13" s="8" t="s">
        <v>16</v>
      </c>
      <c r="J13" s="8" t="s">
        <v>45</v>
      </c>
      <c r="K13" t="s">
        <v>100</v>
      </c>
      <c r="L13" t="s">
        <v>100</v>
      </c>
      <c r="M13" t="s">
        <v>109</v>
      </c>
    </row>
    <row r="14" spans="1:13" x14ac:dyDescent="0.25">
      <c r="A14" s="8" t="s">
        <v>127</v>
      </c>
      <c r="B14" s="8" t="s">
        <v>15</v>
      </c>
      <c r="C14" s="8" t="s">
        <v>44</v>
      </c>
      <c r="D14" s="8" t="s">
        <v>50</v>
      </c>
      <c r="E14" s="8" t="s">
        <v>117</v>
      </c>
      <c r="F14">
        <v>6353.37</v>
      </c>
      <c r="G14" s="1">
        <v>46022</v>
      </c>
      <c r="H14" s="8" t="s">
        <v>60</v>
      </c>
      <c r="I14" s="8" t="s">
        <v>16</v>
      </c>
      <c r="J14" s="8" t="s">
        <v>45</v>
      </c>
      <c r="K14" t="s">
        <v>100</v>
      </c>
      <c r="L14" t="s">
        <v>100</v>
      </c>
      <c r="M14" t="s">
        <v>109</v>
      </c>
    </row>
    <row r="15" spans="1:13" x14ac:dyDescent="0.25">
      <c r="A15" s="8" t="s">
        <v>129</v>
      </c>
      <c r="B15" s="8" t="s">
        <v>15</v>
      </c>
      <c r="C15" s="8" t="s">
        <v>38</v>
      </c>
      <c r="D15" s="8" t="s">
        <v>51</v>
      </c>
      <c r="E15" s="8" t="s">
        <v>111</v>
      </c>
      <c r="F15">
        <v>13724.79</v>
      </c>
      <c r="G15" s="1">
        <v>46022</v>
      </c>
      <c r="H15" s="8" t="s">
        <v>60</v>
      </c>
      <c r="I15" s="8" t="s">
        <v>16</v>
      </c>
      <c r="J15" s="8" t="s">
        <v>39</v>
      </c>
      <c r="K15" t="s">
        <v>100</v>
      </c>
      <c r="L15" t="s">
        <v>100</v>
      </c>
      <c r="M15" t="s">
        <v>109</v>
      </c>
    </row>
    <row r="16" spans="1:13" x14ac:dyDescent="0.25">
      <c r="A16" s="8" t="s">
        <v>132</v>
      </c>
      <c r="B16" s="8" t="s">
        <v>15</v>
      </c>
      <c r="C16" s="8" t="s">
        <v>38</v>
      </c>
      <c r="D16" s="8" t="s">
        <v>51</v>
      </c>
      <c r="E16" s="8" t="s">
        <v>117</v>
      </c>
      <c r="F16">
        <v>3997.19</v>
      </c>
      <c r="G16" s="1">
        <v>46022</v>
      </c>
      <c r="H16" s="8" t="s">
        <v>60</v>
      </c>
      <c r="I16" s="8" t="s">
        <v>16</v>
      </c>
      <c r="J16" s="8" t="s">
        <v>39</v>
      </c>
      <c r="K16" t="s">
        <v>100</v>
      </c>
      <c r="L16" t="s">
        <v>100</v>
      </c>
      <c r="M16" t="s">
        <v>109</v>
      </c>
    </row>
    <row r="17" spans="1:13" x14ac:dyDescent="0.25">
      <c r="A17" s="8" t="s">
        <v>112</v>
      </c>
      <c r="B17" s="8" t="s">
        <v>15</v>
      </c>
      <c r="C17" s="8" t="s">
        <v>40</v>
      </c>
      <c r="D17" s="8" t="s">
        <v>51</v>
      </c>
      <c r="E17" s="8" t="s">
        <v>108</v>
      </c>
      <c r="F17">
        <v>6419.74</v>
      </c>
      <c r="G17" s="1">
        <v>46022</v>
      </c>
      <c r="H17" s="8" t="s">
        <v>60</v>
      </c>
      <c r="I17" s="8" t="s">
        <v>16</v>
      </c>
      <c r="J17" s="8" t="s">
        <v>41</v>
      </c>
      <c r="K17" t="s">
        <v>100</v>
      </c>
      <c r="L17" t="s">
        <v>100</v>
      </c>
      <c r="M17" t="s">
        <v>109</v>
      </c>
    </row>
    <row r="18" spans="1:13" x14ac:dyDescent="0.25">
      <c r="A18" s="8" t="s">
        <v>107</v>
      </c>
      <c r="B18" s="8" t="s">
        <v>15</v>
      </c>
      <c r="C18" s="8" t="s">
        <v>40</v>
      </c>
      <c r="D18" s="8" t="s">
        <v>52</v>
      </c>
      <c r="E18" s="8" t="s">
        <v>108</v>
      </c>
      <c r="F18">
        <v>5061.2</v>
      </c>
      <c r="G18" s="1">
        <v>46022</v>
      </c>
      <c r="H18" s="8" t="s">
        <v>60</v>
      </c>
      <c r="I18" s="8" t="s">
        <v>16</v>
      </c>
      <c r="J18" s="8" t="s">
        <v>41</v>
      </c>
      <c r="K18" t="s">
        <v>100</v>
      </c>
      <c r="L18" t="s">
        <v>100</v>
      </c>
      <c r="M18" t="s">
        <v>109</v>
      </c>
    </row>
    <row r="19" spans="1:13" x14ac:dyDescent="0.25">
      <c r="A19" s="8" t="s">
        <v>116</v>
      </c>
      <c r="B19" s="8" t="s">
        <v>15</v>
      </c>
      <c r="C19" s="8" t="s">
        <v>42</v>
      </c>
      <c r="D19" s="8" t="s">
        <v>52</v>
      </c>
      <c r="E19" s="8" t="s">
        <v>117</v>
      </c>
      <c r="F19">
        <v>18651.349999999999</v>
      </c>
      <c r="G19" s="1">
        <v>46022</v>
      </c>
      <c r="H19" s="8" t="s">
        <v>60</v>
      </c>
      <c r="I19" s="8" t="s">
        <v>16</v>
      </c>
      <c r="J19" s="8" t="s">
        <v>43</v>
      </c>
      <c r="K19" t="s">
        <v>100</v>
      </c>
      <c r="L19" t="s">
        <v>100</v>
      </c>
      <c r="M19" t="s">
        <v>109</v>
      </c>
    </row>
    <row r="20" spans="1:13" x14ac:dyDescent="0.25">
      <c r="A20" s="8" t="s">
        <v>120</v>
      </c>
      <c r="B20" s="8" t="s">
        <v>15</v>
      </c>
      <c r="C20" s="8" t="s">
        <v>44</v>
      </c>
      <c r="D20" s="8" t="s">
        <v>52</v>
      </c>
      <c r="E20" s="8" t="s">
        <v>121</v>
      </c>
      <c r="F20">
        <v>18468.36</v>
      </c>
      <c r="G20" s="1">
        <v>46022</v>
      </c>
      <c r="H20" s="8" t="s">
        <v>60</v>
      </c>
      <c r="I20" s="8" t="s">
        <v>16</v>
      </c>
      <c r="J20" s="8" t="s">
        <v>45</v>
      </c>
      <c r="K20" t="s">
        <v>100</v>
      </c>
      <c r="L20" t="s">
        <v>100</v>
      </c>
      <c r="M20" t="s">
        <v>109</v>
      </c>
    </row>
    <row r="21" spans="1:13" x14ac:dyDescent="0.25">
      <c r="A21" s="8" t="s">
        <v>124</v>
      </c>
      <c r="B21" s="8" t="s">
        <v>15</v>
      </c>
      <c r="C21" s="8" t="s">
        <v>44</v>
      </c>
      <c r="D21" s="8" t="s">
        <v>52</v>
      </c>
      <c r="E21" s="8" t="s">
        <v>125</v>
      </c>
      <c r="F21">
        <v>18890.330000000002</v>
      </c>
      <c r="G21" s="1">
        <v>46022</v>
      </c>
      <c r="H21" s="8" t="s">
        <v>60</v>
      </c>
      <c r="I21" s="8" t="s">
        <v>16</v>
      </c>
      <c r="J21" s="8" t="s">
        <v>45</v>
      </c>
      <c r="K21" t="s">
        <v>100</v>
      </c>
      <c r="L21" t="s">
        <v>100</v>
      </c>
      <c r="M21" t="s">
        <v>109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BA841-AF0A-40A2-9DCF-A9DBFF05FEE8}">
  <sheetPr codeName="Feuil8"/>
  <dimension ref="A1:K31"/>
  <sheetViews>
    <sheetView topLeftCell="A19" workbookViewId="0">
      <selection activeCell="C34" sqref="C34"/>
    </sheetView>
  </sheetViews>
  <sheetFormatPr baseColWidth="10" defaultRowHeight="15" x14ac:dyDescent="0.25"/>
  <cols>
    <col min="1" max="1" width="12" bestFit="1" customWidth="1"/>
    <col min="2" max="2" width="24.42578125" bestFit="1" customWidth="1"/>
    <col min="3" max="3" width="10.42578125" bestFit="1" customWidth="1"/>
    <col min="5" max="5" width="13.42578125" bestFit="1" customWidth="1"/>
    <col min="6" max="6" width="10.42578125" bestFit="1" customWidth="1"/>
    <col min="7" max="7" width="14.42578125" bestFit="1" customWidth="1"/>
    <col min="8" max="8" width="8.7109375" bestFit="1" customWidth="1"/>
    <col min="9" max="9" width="17.140625" bestFit="1" customWidth="1"/>
    <col min="10" max="10" width="24.7109375" bestFit="1" customWidth="1"/>
    <col min="11" max="11" width="16.140625" bestFit="1" customWidth="1"/>
  </cols>
  <sheetData>
    <row r="1" spans="1:11" x14ac:dyDescent="0.25">
      <c r="A1" t="s">
        <v>134</v>
      </c>
      <c r="B1" t="s">
        <v>135</v>
      </c>
      <c r="C1" t="s">
        <v>0</v>
      </c>
      <c r="D1" t="s">
        <v>2</v>
      </c>
      <c r="E1" t="s">
        <v>54</v>
      </c>
      <c r="F1" t="s">
        <v>55</v>
      </c>
      <c r="G1" t="s">
        <v>56</v>
      </c>
      <c r="H1" t="s">
        <v>57</v>
      </c>
      <c r="I1" t="s">
        <v>1</v>
      </c>
      <c r="J1" t="s">
        <v>205</v>
      </c>
      <c r="K1" t="s">
        <v>206</v>
      </c>
    </row>
    <row r="2" spans="1:11" x14ac:dyDescent="0.25">
      <c r="A2" s="8" t="s">
        <v>163</v>
      </c>
      <c r="B2" s="8" t="s">
        <v>153</v>
      </c>
      <c r="C2" s="8" t="s">
        <v>30</v>
      </c>
      <c r="D2" s="8" t="s">
        <v>50</v>
      </c>
      <c r="E2" s="8" t="s">
        <v>164</v>
      </c>
      <c r="F2">
        <v>9788.67</v>
      </c>
      <c r="G2" s="1">
        <v>46022</v>
      </c>
      <c r="H2" s="8" t="s">
        <v>139</v>
      </c>
      <c r="I2" s="8" t="s">
        <v>31</v>
      </c>
      <c r="J2" t="s">
        <v>100</v>
      </c>
      <c r="K2" t="s">
        <v>109</v>
      </c>
    </row>
    <row r="3" spans="1:11" x14ac:dyDescent="0.25">
      <c r="A3" s="8" t="s">
        <v>171</v>
      </c>
      <c r="B3" s="8" t="s">
        <v>137</v>
      </c>
      <c r="C3" s="8" t="s">
        <v>30</v>
      </c>
      <c r="D3" s="8" t="s">
        <v>50</v>
      </c>
      <c r="E3" s="8" t="s">
        <v>172</v>
      </c>
      <c r="F3">
        <v>33341.629999999997</v>
      </c>
      <c r="G3" s="1">
        <v>46022</v>
      </c>
      <c r="H3" s="8" t="s">
        <v>139</v>
      </c>
      <c r="I3" s="8" t="s">
        <v>31</v>
      </c>
      <c r="J3" t="s">
        <v>100</v>
      </c>
      <c r="K3" t="s">
        <v>109</v>
      </c>
    </row>
    <row r="4" spans="1:11" x14ac:dyDescent="0.25">
      <c r="A4" s="8" t="s">
        <v>167</v>
      </c>
      <c r="B4" s="8" t="s">
        <v>153</v>
      </c>
      <c r="C4" s="8" t="s">
        <v>30</v>
      </c>
      <c r="D4" s="8" t="s">
        <v>9</v>
      </c>
      <c r="E4" s="8" t="s">
        <v>168</v>
      </c>
      <c r="F4">
        <v>43071.07</v>
      </c>
      <c r="G4" s="1">
        <v>46022</v>
      </c>
      <c r="H4" s="8" t="s">
        <v>139</v>
      </c>
      <c r="I4" s="8" t="s">
        <v>31</v>
      </c>
      <c r="J4" t="s">
        <v>100</v>
      </c>
      <c r="K4" t="s">
        <v>109</v>
      </c>
    </row>
    <row r="5" spans="1:11" x14ac:dyDescent="0.25">
      <c r="A5" s="8" t="s">
        <v>184</v>
      </c>
      <c r="B5" s="8" t="s">
        <v>153</v>
      </c>
      <c r="C5" s="8" t="s">
        <v>40</v>
      </c>
      <c r="D5" s="8" t="s">
        <v>9</v>
      </c>
      <c r="E5" s="8" t="s">
        <v>185</v>
      </c>
      <c r="F5">
        <v>13481.4</v>
      </c>
      <c r="G5" s="1">
        <v>46022</v>
      </c>
      <c r="H5" s="8" t="s">
        <v>139</v>
      </c>
      <c r="I5" s="8" t="s">
        <v>41</v>
      </c>
      <c r="J5" t="s">
        <v>100</v>
      </c>
      <c r="K5" t="s">
        <v>109</v>
      </c>
    </row>
    <row r="6" spans="1:11" x14ac:dyDescent="0.25">
      <c r="A6" s="8" t="s">
        <v>190</v>
      </c>
      <c r="B6" s="8" t="s">
        <v>146</v>
      </c>
      <c r="C6" s="8" t="s">
        <v>42</v>
      </c>
      <c r="D6" s="8" t="s">
        <v>9</v>
      </c>
      <c r="E6" s="8" t="s">
        <v>191</v>
      </c>
      <c r="F6">
        <v>33677.75</v>
      </c>
      <c r="G6" s="1">
        <v>46022</v>
      </c>
      <c r="H6" s="8" t="s">
        <v>139</v>
      </c>
      <c r="I6" s="8" t="s">
        <v>43</v>
      </c>
      <c r="J6" t="s">
        <v>100</v>
      </c>
      <c r="K6" t="s">
        <v>109</v>
      </c>
    </row>
    <row r="7" spans="1:11" x14ac:dyDescent="0.25">
      <c r="A7" s="8" t="s">
        <v>198</v>
      </c>
      <c r="B7" s="8" t="s">
        <v>146</v>
      </c>
      <c r="C7" s="8" t="s">
        <v>42</v>
      </c>
      <c r="D7" s="8" t="s">
        <v>9</v>
      </c>
      <c r="E7" s="8" t="s">
        <v>199</v>
      </c>
      <c r="F7">
        <v>11298.95</v>
      </c>
      <c r="G7" s="1">
        <v>46022</v>
      </c>
      <c r="H7" s="8" t="s">
        <v>139</v>
      </c>
      <c r="I7" s="8" t="s">
        <v>43</v>
      </c>
      <c r="J7" t="s">
        <v>100</v>
      </c>
      <c r="K7" t="s">
        <v>109</v>
      </c>
    </row>
    <row r="8" spans="1:11" x14ac:dyDescent="0.25">
      <c r="A8" s="8" t="s">
        <v>188</v>
      </c>
      <c r="B8" s="8" t="s">
        <v>174</v>
      </c>
      <c r="C8" s="8" t="s">
        <v>44</v>
      </c>
      <c r="D8" s="8" t="s">
        <v>9</v>
      </c>
      <c r="E8" s="8" t="s">
        <v>189</v>
      </c>
      <c r="F8">
        <v>33505.99</v>
      </c>
      <c r="G8" s="1">
        <v>46022</v>
      </c>
      <c r="H8" s="8" t="s">
        <v>139</v>
      </c>
      <c r="I8" s="8" t="s">
        <v>45</v>
      </c>
      <c r="J8" t="s">
        <v>100</v>
      </c>
      <c r="K8" t="s">
        <v>109</v>
      </c>
    </row>
    <row r="9" spans="1:11" x14ac:dyDescent="0.25">
      <c r="A9" s="8" t="s">
        <v>145</v>
      </c>
      <c r="B9" s="8" t="s">
        <v>146</v>
      </c>
      <c r="C9" s="8" t="s">
        <v>38</v>
      </c>
      <c r="D9" s="8" t="s">
        <v>50</v>
      </c>
      <c r="E9" s="8" t="s">
        <v>147</v>
      </c>
      <c r="F9">
        <v>37320.31</v>
      </c>
      <c r="G9" s="1">
        <v>46022</v>
      </c>
      <c r="H9" s="8" t="s">
        <v>139</v>
      </c>
      <c r="I9" s="8" t="s">
        <v>39</v>
      </c>
      <c r="J9" t="s">
        <v>100</v>
      </c>
      <c r="K9" t="s">
        <v>109</v>
      </c>
    </row>
    <row r="10" spans="1:11" x14ac:dyDescent="0.25">
      <c r="A10" s="8" t="s">
        <v>152</v>
      </c>
      <c r="B10" s="8" t="s">
        <v>153</v>
      </c>
      <c r="C10" s="8" t="s">
        <v>38</v>
      </c>
      <c r="D10" s="8" t="s">
        <v>50</v>
      </c>
      <c r="E10" s="8" t="s">
        <v>154</v>
      </c>
      <c r="F10">
        <v>3049.61</v>
      </c>
      <c r="G10" s="1">
        <v>46022</v>
      </c>
      <c r="H10" s="8" t="s">
        <v>139</v>
      </c>
      <c r="I10" s="8" t="s">
        <v>39</v>
      </c>
      <c r="J10" t="s">
        <v>100</v>
      </c>
      <c r="K10" t="s">
        <v>109</v>
      </c>
    </row>
    <row r="11" spans="1:11" x14ac:dyDescent="0.25">
      <c r="A11" s="8" t="s">
        <v>203</v>
      </c>
      <c r="B11" s="8" t="s">
        <v>201</v>
      </c>
      <c r="C11" s="8" t="s">
        <v>38</v>
      </c>
      <c r="D11" s="8" t="s">
        <v>50</v>
      </c>
      <c r="E11" s="8" t="s">
        <v>204</v>
      </c>
      <c r="F11">
        <v>33283.69</v>
      </c>
      <c r="G11" s="1">
        <v>46022</v>
      </c>
      <c r="H11" s="8" t="s">
        <v>139</v>
      </c>
      <c r="I11" s="8" t="s">
        <v>39</v>
      </c>
      <c r="J11" t="s">
        <v>100</v>
      </c>
      <c r="K11" t="s">
        <v>109</v>
      </c>
    </row>
    <row r="12" spans="1:11" x14ac:dyDescent="0.25">
      <c r="A12" s="8" t="s">
        <v>150</v>
      </c>
      <c r="B12" s="8" t="s">
        <v>141</v>
      </c>
      <c r="C12" s="8" t="s">
        <v>44</v>
      </c>
      <c r="D12" s="8" t="s">
        <v>50</v>
      </c>
      <c r="E12" s="8" t="s">
        <v>151</v>
      </c>
      <c r="F12">
        <v>29542.97</v>
      </c>
      <c r="G12" s="1">
        <v>46022</v>
      </c>
      <c r="H12" s="8" t="s">
        <v>139</v>
      </c>
      <c r="I12" s="8" t="s">
        <v>45</v>
      </c>
      <c r="J12" t="s">
        <v>100</v>
      </c>
      <c r="K12" t="s">
        <v>109</v>
      </c>
    </row>
    <row r="13" spans="1:11" x14ac:dyDescent="0.25">
      <c r="A13" s="8" t="s">
        <v>157</v>
      </c>
      <c r="B13" s="8" t="s">
        <v>158</v>
      </c>
      <c r="C13" s="8" t="s">
        <v>44</v>
      </c>
      <c r="D13" s="8" t="s">
        <v>50</v>
      </c>
      <c r="E13" s="8" t="s">
        <v>159</v>
      </c>
      <c r="F13">
        <v>39225.699999999997</v>
      </c>
      <c r="G13" s="1">
        <v>46022</v>
      </c>
      <c r="H13" s="8" t="s">
        <v>139</v>
      </c>
      <c r="I13" s="8" t="s">
        <v>45</v>
      </c>
      <c r="J13" t="s">
        <v>100</v>
      </c>
      <c r="K13" t="s">
        <v>109</v>
      </c>
    </row>
    <row r="14" spans="1:11" x14ac:dyDescent="0.25">
      <c r="A14" s="8" t="s">
        <v>194</v>
      </c>
      <c r="B14" s="8" t="s">
        <v>153</v>
      </c>
      <c r="C14" s="8" t="s">
        <v>46</v>
      </c>
      <c r="D14" s="8" t="s">
        <v>50</v>
      </c>
      <c r="E14" s="8" t="s">
        <v>195</v>
      </c>
      <c r="F14">
        <v>34188.58</v>
      </c>
      <c r="G14" s="1">
        <v>46022</v>
      </c>
      <c r="H14" s="8" t="s">
        <v>139</v>
      </c>
      <c r="I14" s="8" t="s">
        <v>47</v>
      </c>
      <c r="J14" t="s">
        <v>100</v>
      </c>
      <c r="K14" t="s">
        <v>109</v>
      </c>
    </row>
    <row r="15" spans="1:11" x14ac:dyDescent="0.25">
      <c r="A15" s="8" t="s">
        <v>196</v>
      </c>
      <c r="B15" s="8" t="s">
        <v>146</v>
      </c>
      <c r="C15" s="8" t="s">
        <v>46</v>
      </c>
      <c r="D15" s="8" t="s">
        <v>50</v>
      </c>
      <c r="E15" s="8" t="s">
        <v>197</v>
      </c>
      <c r="F15">
        <v>27848.92</v>
      </c>
      <c r="G15" s="1">
        <v>46022</v>
      </c>
      <c r="H15" s="8" t="s">
        <v>139</v>
      </c>
      <c r="I15" s="8" t="s">
        <v>47</v>
      </c>
      <c r="J15" t="s">
        <v>100</v>
      </c>
      <c r="K15" t="s">
        <v>109</v>
      </c>
    </row>
    <row r="16" spans="1:11" x14ac:dyDescent="0.25">
      <c r="A16" s="8" t="s">
        <v>169</v>
      </c>
      <c r="B16" s="8" t="s">
        <v>137</v>
      </c>
      <c r="C16" s="8" t="s">
        <v>48</v>
      </c>
      <c r="D16" s="8" t="s">
        <v>50</v>
      </c>
      <c r="E16" s="8" t="s">
        <v>170</v>
      </c>
      <c r="F16">
        <v>18133.259999999998</v>
      </c>
      <c r="G16" s="1">
        <v>46022</v>
      </c>
      <c r="H16" s="8" t="s">
        <v>139</v>
      </c>
      <c r="I16" s="8" t="s">
        <v>49</v>
      </c>
      <c r="J16" t="s">
        <v>100</v>
      </c>
      <c r="K16" t="s">
        <v>109</v>
      </c>
    </row>
    <row r="17" spans="1:11" x14ac:dyDescent="0.25">
      <c r="A17" s="8" t="s">
        <v>143</v>
      </c>
      <c r="B17" s="8" t="s">
        <v>141</v>
      </c>
      <c r="C17" s="8" t="s">
        <v>30</v>
      </c>
      <c r="D17" s="8" t="s">
        <v>51</v>
      </c>
      <c r="E17" s="8" t="s">
        <v>144</v>
      </c>
      <c r="F17">
        <v>17344.27</v>
      </c>
      <c r="G17" s="1">
        <v>46022</v>
      </c>
      <c r="H17" s="8" t="s">
        <v>139</v>
      </c>
      <c r="I17" s="8" t="s">
        <v>31</v>
      </c>
      <c r="J17" t="s">
        <v>100</v>
      </c>
      <c r="K17" t="s">
        <v>109</v>
      </c>
    </row>
    <row r="18" spans="1:11" x14ac:dyDescent="0.25">
      <c r="A18" s="8" t="s">
        <v>140</v>
      </c>
      <c r="B18" s="8" t="s">
        <v>141</v>
      </c>
      <c r="C18" s="8" t="s">
        <v>32</v>
      </c>
      <c r="D18" s="8" t="s">
        <v>51</v>
      </c>
      <c r="E18" s="8" t="s">
        <v>142</v>
      </c>
      <c r="F18">
        <v>32079.94</v>
      </c>
      <c r="G18" s="1">
        <v>46022</v>
      </c>
      <c r="H18" s="8" t="s">
        <v>139</v>
      </c>
      <c r="I18" s="8" t="s">
        <v>33</v>
      </c>
      <c r="J18" t="s">
        <v>100</v>
      </c>
      <c r="K18" t="s">
        <v>109</v>
      </c>
    </row>
    <row r="19" spans="1:11" x14ac:dyDescent="0.25">
      <c r="A19" s="8" t="s">
        <v>178</v>
      </c>
      <c r="B19" s="8" t="s">
        <v>141</v>
      </c>
      <c r="C19" s="8" t="s">
        <v>32</v>
      </c>
      <c r="D19" s="8" t="s">
        <v>51</v>
      </c>
      <c r="E19" s="8" t="s">
        <v>179</v>
      </c>
      <c r="F19">
        <v>43974.879999999997</v>
      </c>
      <c r="G19" s="1">
        <v>46022</v>
      </c>
      <c r="H19" s="8" t="s">
        <v>139</v>
      </c>
      <c r="I19" s="8" t="s">
        <v>33</v>
      </c>
      <c r="J19" t="s">
        <v>100</v>
      </c>
      <c r="K19" t="s">
        <v>109</v>
      </c>
    </row>
    <row r="20" spans="1:11" x14ac:dyDescent="0.25">
      <c r="A20" s="8" t="s">
        <v>165</v>
      </c>
      <c r="B20" s="8" t="s">
        <v>153</v>
      </c>
      <c r="C20" s="8" t="s">
        <v>40</v>
      </c>
      <c r="D20" s="8" t="s">
        <v>51</v>
      </c>
      <c r="E20" s="8" t="s">
        <v>166</v>
      </c>
      <c r="F20">
        <v>14073.48</v>
      </c>
      <c r="G20" s="1">
        <v>46022</v>
      </c>
      <c r="H20" s="8" t="s">
        <v>139</v>
      </c>
      <c r="I20" s="8" t="s">
        <v>41</v>
      </c>
      <c r="J20" t="s">
        <v>100</v>
      </c>
      <c r="K20" t="s">
        <v>109</v>
      </c>
    </row>
    <row r="21" spans="1:11" x14ac:dyDescent="0.25">
      <c r="A21" s="8" t="s">
        <v>136</v>
      </c>
      <c r="B21" s="8" t="s">
        <v>137</v>
      </c>
      <c r="C21" s="8" t="s">
        <v>42</v>
      </c>
      <c r="D21" s="8" t="s">
        <v>51</v>
      </c>
      <c r="E21" s="8" t="s">
        <v>138</v>
      </c>
      <c r="F21">
        <v>25765.040000000001</v>
      </c>
      <c r="G21" s="1">
        <v>46022</v>
      </c>
      <c r="H21" s="8" t="s">
        <v>139</v>
      </c>
      <c r="I21" s="8" t="s">
        <v>43</v>
      </c>
      <c r="J21" t="s">
        <v>100</v>
      </c>
      <c r="K21" t="s">
        <v>109</v>
      </c>
    </row>
    <row r="22" spans="1:11" x14ac:dyDescent="0.25">
      <c r="A22" s="8" t="s">
        <v>180</v>
      </c>
      <c r="B22" s="8" t="s">
        <v>161</v>
      </c>
      <c r="C22" s="8" t="s">
        <v>42</v>
      </c>
      <c r="D22" s="8" t="s">
        <v>51</v>
      </c>
      <c r="E22" s="8" t="s">
        <v>181</v>
      </c>
      <c r="F22">
        <v>2874.6</v>
      </c>
      <c r="G22" s="1">
        <v>46022</v>
      </c>
      <c r="H22" s="8" t="s">
        <v>139</v>
      </c>
      <c r="I22" s="8" t="s">
        <v>43</v>
      </c>
      <c r="J22" t="s">
        <v>100</v>
      </c>
      <c r="K22" t="s">
        <v>109</v>
      </c>
    </row>
    <row r="23" spans="1:11" x14ac:dyDescent="0.25">
      <c r="A23" s="8" t="s">
        <v>192</v>
      </c>
      <c r="B23" s="8" t="s">
        <v>153</v>
      </c>
      <c r="C23" s="8" t="s">
        <v>42</v>
      </c>
      <c r="D23" s="8" t="s">
        <v>51</v>
      </c>
      <c r="E23" s="8" t="s">
        <v>193</v>
      </c>
      <c r="F23">
        <v>28166.21</v>
      </c>
      <c r="G23" s="1">
        <v>46022</v>
      </c>
      <c r="H23" s="8" t="s">
        <v>139</v>
      </c>
      <c r="I23" s="8" t="s">
        <v>43</v>
      </c>
      <c r="J23" t="s">
        <v>100</v>
      </c>
      <c r="K23" t="s">
        <v>109</v>
      </c>
    </row>
    <row r="24" spans="1:11" x14ac:dyDescent="0.25">
      <c r="A24" s="8" t="s">
        <v>155</v>
      </c>
      <c r="B24" s="8" t="s">
        <v>141</v>
      </c>
      <c r="C24" s="8" t="s">
        <v>44</v>
      </c>
      <c r="D24" s="8" t="s">
        <v>51</v>
      </c>
      <c r="E24" s="8" t="s">
        <v>156</v>
      </c>
      <c r="F24">
        <v>11293.75</v>
      </c>
      <c r="G24" s="1">
        <v>46022</v>
      </c>
      <c r="H24" s="8" t="s">
        <v>139</v>
      </c>
      <c r="I24" s="8" t="s">
        <v>45</v>
      </c>
      <c r="J24" t="s">
        <v>100</v>
      </c>
      <c r="K24" t="s">
        <v>109</v>
      </c>
    </row>
    <row r="25" spans="1:11" x14ac:dyDescent="0.25">
      <c r="A25" s="8" t="s">
        <v>176</v>
      </c>
      <c r="B25" s="8" t="s">
        <v>174</v>
      </c>
      <c r="C25" s="8" t="s">
        <v>46</v>
      </c>
      <c r="D25" s="8" t="s">
        <v>51</v>
      </c>
      <c r="E25" s="8" t="s">
        <v>177</v>
      </c>
      <c r="F25">
        <v>34296.39</v>
      </c>
      <c r="G25" s="1">
        <v>46022</v>
      </c>
      <c r="H25" s="8" t="s">
        <v>139</v>
      </c>
      <c r="I25" s="8" t="s">
        <v>47</v>
      </c>
      <c r="J25" t="s">
        <v>100</v>
      </c>
      <c r="K25" t="s">
        <v>109</v>
      </c>
    </row>
    <row r="26" spans="1:11" x14ac:dyDescent="0.25">
      <c r="A26" s="8" t="s">
        <v>200</v>
      </c>
      <c r="B26" s="8" t="s">
        <v>201</v>
      </c>
      <c r="C26" s="8" t="s">
        <v>48</v>
      </c>
      <c r="D26" s="8" t="s">
        <v>51</v>
      </c>
      <c r="E26" s="8" t="s">
        <v>202</v>
      </c>
      <c r="F26">
        <v>22665.83</v>
      </c>
      <c r="G26" s="1">
        <v>46022</v>
      </c>
      <c r="H26" s="8" t="s">
        <v>139</v>
      </c>
      <c r="I26" s="8" t="s">
        <v>49</v>
      </c>
      <c r="J26" t="s">
        <v>100</v>
      </c>
      <c r="K26" t="s">
        <v>109</v>
      </c>
    </row>
    <row r="27" spans="1:11" x14ac:dyDescent="0.25">
      <c r="A27" s="8" t="s">
        <v>148</v>
      </c>
      <c r="B27" s="8" t="s">
        <v>141</v>
      </c>
      <c r="C27" s="8" t="s">
        <v>32</v>
      </c>
      <c r="D27" s="8" t="s">
        <v>52</v>
      </c>
      <c r="E27" s="8" t="s">
        <v>149</v>
      </c>
      <c r="F27">
        <v>4686.95</v>
      </c>
      <c r="G27" s="1">
        <v>46022</v>
      </c>
      <c r="H27" s="8" t="s">
        <v>139</v>
      </c>
      <c r="I27" s="8" t="s">
        <v>33</v>
      </c>
      <c r="J27" t="s">
        <v>100</v>
      </c>
      <c r="K27" t="s">
        <v>109</v>
      </c>
    </row>
    <row r="28" spans="1:11" x14ac:dyDescent="0.25">
      <c r="A28" s="8" t="s">
        <v>160</v>
      </c>
      <c r="B28" s="8" t="s">
        <v>161</v>
      </c>
      <c r="C28" s="8" t="s">
        <v>40</v>
      </c>
      <c r="D28" s="8" t="s">
        <v>52</v>
      </c>
      <c r="E28" s="8" t="s">
        <v>162</v>
      </c>
      <c r="F28">
        <v>43365.68</v>
      </c>
      <c r="G28" s="1">
        <v>46022</v>
      </c>
      <c r="H28" s="8" t="s">
        <v>139</v>
      </c>
      <c r="I28" s="8" t="s">
        <v>41</v>
      </c>
      <c r="J28" t="s">
        <v>100</v>
      </c>
      <c r="K28" t="s">
        <v>109</v>
      </c>
    </row>
    <row r="29" spans="1:11" x14ac:dyDescent="0.25">
      <c r="A29" s="8" t="s">
        <v>186</v>
      </c>
      <c r="B29" s="8" t="s">
        <v>141</v>
      </c>
      <c r="C29" s="8" t="s">
        <v>40</v>
      </c>
      <c r="D29" s="8" t="s">
        <v>52</v>
      </c>
      <c r="E29" s="8" t="s">
        <v>187</v>
      </c>
      <c r="F29">
        <v>18846.849999999999</v>
      </c>
      <c r="G29" s="1">
        <v>46022</v>
      </c>
      <c r="H29" s="8" t="s">
        <v>139</v>
      </c>
      <c r="I29" s="8" t="s">
        <v>41</v>
      </c>
      <c r="J29" t="s">
        <v>100</v>
      </c>
      <c r="K29" t="s">
        <v>109</v>
      </c>
    </row>
    <row r="30" spans="1:11" x14ac:dyDescent="0.25">
      <c r="A30" s="8" t="s">
        <v>173</v>
      </c>
      <c r="B30" s="8" t="s">
        <v>174</v>
      </c>
      <c r="C30" s="8" t="s">
        <v>42</v>
      </c>
      <c r="D30" s="8" t="s">
        <v>52</v>
      </c>
      <c r="E30" s="8" t="s">
        <v>175</v>
      </c>
      <c r="F30">
        <v>43353.29</v>
      </c>
      <c r="G30" s="1">
        <v>46022</v>
      </c>
      <c r="H30" s="8" t="s">
        <v>139</v>
      </c>
      <c r="I30" s="8" t="s">
        <v>43</v>
      </c>
      <c r="J30" t="s">
        <v>100</v>
      </c>
      <c r="K30" t="s">
        <v>109</v>
      </c>
    </row>
    <row r="31" spans="1:11" x14ac:dyDescent="0.25">
      <c r="A31" s="8" t="s">
        <v>182</v>
      </c>
      <c r="B31" s="8" t="s">
        <v>174</v>
      </c>
      <c r="C31" s="8" t="s">
        <v>44</v>
      </c>
      <c r="D31" s="8" t="s">
        <v>52</v>
      </c>
      <c r="E31" s="8" t="s">
        <v>183</v>
      </c>
      <c r="F31">
        <v>22383.3</v>
      </c>
      <c r="G31" s="1">
        <v>46022</v>
      </c>
      <c r="H31" s="8" t="s">
        <v>139</v>
      </c>
      <c r="I31" s="8" t="s">
        <v>45</v>
      </c>
      <c r="J31" t="s">
        <v>100</v>
      </c>
      <c r="K31" t="s">
        <v>109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5DB9C-F32D-47D4-8ECC-B527A5D2C99F}">
  <sheetPr codeName="Feuil9"/>
  <dimension ref="A1:H2"/>
  <sheetViews>
    <sheetView workbookViewId="0"/>
  </sheetViews>
  <sheetFormatPr baseColWidth="10" defaultRowHeight="15" x14ac:dyDescent="0.25"/>
  <cols>
    <col min="1" max="1" width="12" bestFit="1" customWidth="1"/>
    <col min="2" max="2" width="9.85546875" bestFit="1" customWidth="1"/>
    <col min="3" max="3" width="10.42578125" bestFit="1" customWidth="1"/>
    <col min="4" max="4" width="8.42578125" bestFit="1" customWidth="1"/>
    <col min="5" max="5" width="13.42578125" bestFit="1" customWidth="1"/>
    <col min="6" max="6" width="10.42578125" bestFit="1" customWidth="1"/>
    <col min="7" max="7" width="14.42578125" bestFit="1" customWidth="1"/>
    <col min="8" max="8" width="8.7109375" bestFit="1" customWidth="1"/>
  </cols>
  <sheetData>
    <row r="1" spans="1:8" x14ac:dyDescent="0.25">
      <c r="A1" t="s">
        <v>134</v>
      </c>
      <c r="B1" t="s">
        <v>135</v>
      </c>
      <c r="C1" t="s">
        <v>0</v>
      </c>
      <c r="D1" t="s">
        <v>2</v>
      </c>
      <c r="E1" t="s">
        <v>54</v>
      </c>
      <c r="F1" t="s">
        <v>55</v>
      </c>
      <c r="G1" t="s">
        <v>56</v>
      </c>
      <c r="H1" t="s">
        <v>57</v>
      </c>
    </row>
    <row r="2" spans="1:8" x14ac:dyDescent="0.25">
      <c r="G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0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0AE176-D4FC-4539-B932-03715D3AAF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Month-End Control Center</vt:lpstr>
      <vt:lpstr>Closing control</vt:lpstr>
      <vt:lpstr>Exception Details</vt:lpstr>
      <vt:lpstr>Amount Validation</vt:lpstr>
      <vt:lpstr>Trial Balance</vt:lpstr>
      <vt:lpstr>Accruals</vt:lpstr>
      <vt:lpstr>Prepayments</vt:lpstr>
      <vt:lpstr>Invoices</vt:lpstr>
      <vt:lpstr>Invoices - check duplicates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Joffrey PAILLE</dc:creator>
  <cp:lastModifiedBy>Joffrey PAILLE</cp:lastModifiedBy>
  <dcterms:created xsi:type="dcterms:W3CDTF">2015-06-05T18:17:20Z</dcterms:created>
  <dcterms:modified xsi:type="dcterms:W3CDTF">2026-09-26T09:52:36Z</dcterms:modified>
</cp:coreProperties>
</file>